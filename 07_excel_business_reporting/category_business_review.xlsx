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it\Downloads\Analytics\Portfolioprojects\Marketplace-Growth-Customer-Experience-Analysis\"/>
    </mc:Choice>
  </mc:AlternateContent>
  <xr:revisionPtr revIDLastSave="0" documentId="13_ncr:1_{79A11200-4E2D-4AAD-9013-81A55AA6ED46}" xr6:coauthVersionLast="47" xr6:coauthVersionMax="47" xr10:uidLastSave="{00000000-0000-0000-0000-000000000000}"/>
  <bookViews>
    <workbookView xWindow="-110" yWindow="-110" windowWidth="19420" windowHeight="12220" tabRatio="688" xr2:uid="{0AB8DABB-6850-43B7-9D2E-D444ECA73E95}"/>
  </bookViews>
  <sheets>
    <sheet name="Read Me" sheetId="1" r:id="rId1"/>
    <sheet name="Category Review" sheetId="2" r:id="rId2"/>
    <sheet name="Category Detail" sheetId="3" r:id="rId3"/>
    <sheet name="Data_Performance" sheetId="4" r:id="rId4"/>
    <sheet name="Data_Growth" sheetId="5" r:id="rId5"/>
    <sheet name="Data_Reviews" sheetId="6" r:id="rId6"/>
  </sheets>
  <definedNames>
    <definedName name="CategoryList">CategoryDetailData[Category]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 a="1"/>
  <c r="B29" i="2" s="1"/>
  <c r="B15" i="2" a="1"/>
  <c r="B15" i="2" s="1"/>
  <c r="E10" i="2"/>
  <c r="I30" i="2"/>
  <c r="I29" i="2"/>
  <c r="K10" i="2" a="1"/>
  <c r="K10" i="2" s="1"/>
  <c r="H10" i="2"/>
  <c r="N8" i="2"/>
  <c r="K8" i="2"/>
  <c r="H8" i="2"/>
  <c r="E8" i="2"/>
  <c r="N6" i="2"/>
  <c r="H6" i="2"/>
  <c r="E6" i="2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6" i="2" s="1"/>
  <c r="K77" i="3"/>
  <c r="K78" i="3"/>
  <c r="K79" i="3"/>
  <c r="K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K80" i="3"/>
  <c r="K81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6" i="3"/>
  <c r="A6" i="3"/>
  <c r="B6" i="3"/>
  <c r="C6" i="3"/>
  <c r="D6" i="3"/>
  <c r="F6" i="3"/>
  <c r="G6" i="3"/>
  <c r="H6" i="3"/>
  <c r="I6" i="3"/>
  <c r="J6" i="3"/>
  <c r="L6" i="3"/>
  <c r="M6" i="3"/>
  <c r="N6" i="3"/>
  <c r="O6" i="3"/>
  <c r="P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2" i="4"/>
  <c r="R15" i="2" l="1"/>
  <c r="Q24" i="2"/>
  <c r="Q23" i="2"/>
  <c r="Q22" i="2"/>
  <c r="P24" i="2"/>
  <c r="R24" i="2"/>
  <c r="P23" i="2"/>
  <c r="R23" i="2"/>
  <c r="R22" i="2"/>
  <c r="P22" i="2"/>
  <c r="A15" i="2" l="1" a="1"/>
  <c r="A15" i="2" s="1"/>
  <c r="Q16" i="2"/>
  <c r="R17" i="2"/>
  <c r="A29" i="2" a="1"/>
  <c r="A29" i="2" s="1"/>
  <c r="Q17" i="2"/>
  <c r="R16" i="2"/>
  <c r="Q15" i="2"/>
  <c r="P16" i="2"/>
  <c r="Q18" i="2"/>
  <c r="P17" i="2"/>
  <c r="Q19" i="2"/>
  <c r="Q20" i="2"/>
  <c r="Q21" i="2"/>
  <c r="R18" i="2"/>
  <c r="P19" i="2"/>
  <c r="R19" i="2"/>
  <c r="R20" i="2"/>
  <c r="P20" i="2"/>
  <c r="R21" i="2"/>
  <c r="P18" i="2"/>
  <c r="P21" i="2"/>
  <c r="P1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<sst xmlns="http://schemas.openxmlformats.org/spreadsheetml/2006/main" count="412" uniqueCount="166">
  <si>
    <t>Category Business Review</t>
  </si>
  <si>
    <t>A stakeholder-facing Excel review built from validated SQL outputs for category comparison, exception identification, and follow-up analysis. MySQL remains the analytical source of truth.</t>
  </si>
  <si>
    <t>Sheet</t>
  </si>
  <si>
    <t>Use</t>
  </si>
  <si>
    <t>Category Review</t>
  </si>
  <si>
    <t>Category Detail</t>
  </si>
  <si>
    <t>Metric Definitions and Scope</t>
  </si>
  <si>
    <t>Filterable category-level drill-down for ad-hoc investigation.</t>
  </si>
  <si>
    <t>Curated SQL extract from F5 category commercial performance.</t>
  </si>
  <si>
    <t>Curated SQL extract from F5 matched-period category growth analysis.</t>
  </si>
  <si>
    <t>Curated SQL extract from F5 category-associated review outcomes.</t>
  </si>
  <si>
    <t>Commercial performance</t>
  </si>
  <si>
    <t>Matched-period growth</t>
  </si>
  <si>
    <t>Review outcomes</t>
  </si>
  <si>
    <t>Item sales value</t>
  </si>
  <si>
    <t>Category names</t>
  </si>
  <si>
    <t>Refresh</t>
  </si>
  <si>
    <t>Representative order-level review associated once with each distinct category in the order.</t>
  </si>
  <si>
    <t>SUM(order_items.price); represents item/merchandise sales value, not profit or Olist revenue.</t>
  </si>
  <si>
    <t>Data_Performance</t>
  </si>
  <si>
    <t>Data_Growth</t>
  </si>
  <si>
    <t>Data_Reviews</t>
  </si>
  <si>
    <t>Completed merchandise activity based on delivered orders across the available dataset period.</t>
  </si>
  <si>
    <t>January–August 2017 compared with January–August 2018.</t>
  </si>
  <si>
    <t>Rerun the approved SQL extracts, replace the supporting Data_* tables, and allow workbook formulas to recalculate.</t>
  </si>
  <si>
    <t>Business-facing category labels are for display only; SQL category values remain unchanged.</t>
  </si>
  <si>
    <t xml:space="preserve"> </t>
  </si>
  <si>
    <t>Manager-facing category review highlighting selected-category performance, leading categories, and growth drivers.</t>
  </si>
  <si>
    <t>category_name</t>
  </si>
  <si>
    <t>completed_orders</t>
  </si>
  <si>
    <t>items_sold</t>
  </si>
  <si>
    <t>products_sold</t>
  </si>
  <si>
    <t>item_sales_value</t>
  </si>
  <si>
    <t>item_sales_value_share_pct</t>
  </si>
  <si>
    <t>item_share_pct</t>
  </si>
  <si>
    <t>avg_item_price</t>
  </si>
  <si>
    <t>avg_category_sales_value_per_order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</si>
  <si>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</si>
  <si>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</si>
  <si>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</si>
  <si>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</si>
  <si>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</si>
  <si>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</si>
  <si>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</si>
  <si>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</si>
  <si>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</si>
  <si>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</si>
  <si>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</si>
  <si>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</si>
  <si>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</si>
  <si>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</si>
  <si>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</si>
  <si>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</si>
  <si>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</si>
  <si>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</si>
  <si>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</si>
  <si>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</si>
  <si>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</si>
  <si>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</si>
  <si>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</si>
  <si>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</si>
  <si>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</si>
  <si>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</si>
  <si>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</si>
  <si>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</si>
  <si>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</si>
  <si>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</si>
  <si>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</si>
  <si>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</si>
  <si>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</si>
  <si>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</si>
  <si>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</si>
  <si>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</si>
  <si>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</si>
  <si>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</si>
  <si>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</si>
  <si>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</si>
  <si>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</si>
  <si>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</si>
  <si>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</si>
  <si>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</si>
  <si>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</si>
  <si>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</si>
  <si>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</si>
  <si>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</si>
  <si>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</si>
  <si>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</si>
  <si>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</si>
  <si>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</si>
  <si>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</si>
  <si>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</si>
  <si>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</si>
  <si>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</si>
  <si>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</si>
  <si>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</si>
  <si>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</si>
  <si>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party_supplies</t>
  </si>
  <si>
    <t>books_imported</t>
  </si>
  <si>
    <t>furniture_mattress_and_upholstery</t>
  </si>
  <si>
    <t>portateis_cozinha_e_preparadores_de_alimentos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</si>
  <si>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</si>
  <si>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</si>
  <si>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</si>
  <si>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</si>
  <si>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</si>
  <si>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</si>
  <si>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</si>
  <si>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</si>
  <si>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</si>
  <si>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</si>
  <si>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</si>
  <si>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completed_orders_2017</t>
  </si>
  <si>
    <t>completed_orders_2018</t>
  </si>
  <si>
    <t>items_sold_2017</t>
  </si>
  <si>
    <t>items_sold_2018</t>
  </si>
  <si>
    <t>item_sales_value_2017</t>
  </si>
  <si>
    <t>item_sales_value_2018</t>
  </si>
  <si>
    <t>item_sales_value_change</t>
  </si>
  <si>
    <t>item_sales_value_growth_pct</t>
  </si>
  <si>
    <t>marketplace_share_2017_pct</t>
  </si>
  <si>
    <t>marketplace_share_2018_pct</t>
  </si>
  <si>
    <t>marketplace_share_change_pp</t>
  </si>
  <si>
    <t>contribution_to_sales_growth_pct</t>
  </si>
  <si>
    <t>orders_with_category</t>
  </si>
  <si>
    <t>reviewed_orders</t>
  </si>
  <si>
    <t>review_coverage_pct</t>
  </si>
  <si>
    <t>avg_review_score</t>
  </si>
  <si>
    <t>low_review_rate_pct</t>
  </si>
  <si>
    <t>high_review_rate_pct</t>
  </si>
  <si>
    <t>Category</t>
  </si>
  <si>
    <t>Completed Orders</t>
  </si>
  <si>
    <t>Items Sold</t>
  </si>
  <si>
    <t>Products Sold</t>
  </si>
  <si>
    <t>Item Sales Value</t>
  </si>
  <si>
    <t>Sales Share</t>
  </si>
  <si>
    <t>Avg Item Price</t>
  </si>
  <si>
    <t>2017 Sales Value</t>
  </si>
  <si>
    <t>2018 Sales Value</t>
  </si>
  <si>
    <t>Sales Value Change</t>
  </si>
  <si>
    <t>Sales Growth</t>
  </si>
  <si>
    <t>Avg Review Score</t>
  </si>
  <si>
    <t>Low Review Rate</t>
  </si>
  <si>
    <t>High Review Rate</t>
  </si>
  <si>
    <t>Category Key</t>
  </si>
  <si>
    <t>display_category</t>
  </si>
  <si>
    <t xml:space="preserve">Share Change pp </t>
  </si>
  <si>
    <t xml:space="preserve">Growth Contribution </t>
  </si>
  <si>
    <t xml:space="preserve">Reviewed Orders </t>
  </si>
  <si>
    <t>Commercial = delivered orders, full available period | Growth = Jan–Aug 2017 vs Jan–Aug 2018 | Reviews = representative order-level reviews for orders containing the category</t>
  </si>
  <si>
    <t>Selected Category Review</t>
  </si>
  <si>
    <t>Growth Contribution</t>
  </si>
  <si>
    <t>Share Change pp</t>
  </si>
  <si>
    <t>Category Groups</t>
  </si>
  <si>
    <t>Total Item Sales Value</t>
  </si>
  <si>
    <t>Top 5 Sales Share</t>
  </si>
  <si>
    <t>Rank</t>
  </si>
  <si>
    <t>Selected Category — Matched-Period Sales</t>
  </si>
  <si>
    <t>Period</t>
  </si>
  <si>
    <t>Jan–Aug 2017</t>
  </si>
  <si>
    <t>Jan–Aug 2018</t>
  </si>
  <si>
    <t>Commercial Position</t>
  </si>
  <si>
    <t>Growth Position</t>
  </si>
  <si>
    <r>
      <rPr>
        <b/>
        <sz val="14"/>
        <color theme="1"/>
        <rFont val="Aptos"/>
        <family val="2"/>
      </rPr>
      <t>Purpose</t>
    </r>
    <r>
      <rPr>
        <b/>
        <sz val="14"/>
        <color theme="1"/>
        <rFont val="Aptos Narrow"/>
        <family val="2"/>
        <scheme val="minor"/>
      </rPr>
      <t xml:space="preserve"> </t>
    </r>
  </si>
  <si>
    <t>Peers</t>
  </si>
  <si>
    <t>Selected</t>
  </si>
  <si>
    <t>Computers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</si>
</sst>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;[Red]#,##0.00"/>
    <numFmt numFmtId="165" formatCode="\+0.00\ &quot;pp&quot;;\-0.00\ &quot;pp&quot;;0.00\ &quot;pp&quot;"/>
    <numFmt numFmtId="166" formatCode="\+0.00%;\-0.00%;0.00%"/>
    <numFmt numFmtId="167" formatCode="\+#,##0.00;\-#,##0.00;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 Display"/>
      <family val="2"/>
    </font>
    <font>
      <b/>
      <sz val="20"/>
      <color theme="0"/>
      <name val="Aptos Display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b/>
      <sz val="18"/>
      <color theme="1"/>
      <name val="Aptos"/>
      <family val="2"/>
    </font>
    <font>
      <sz val="9"/>
      <color rgb="FF3E3E3D"/>
      <name val="Aptos"/>
      <family val="2"/>
    </font>
    <font>
      <b/>
      <sz val="11"/>
      <color rgb="FF3E3E3D"/>
      <name val="Aptos"/>
      <family val="2"/>
    </font>
    <font>
      <b/>
      <sz val="11"/>
      <color rgb="FF3E3E3D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6"/>
      <color rgb="FF1F1F1F"/>
      <name val="Aptos Display"/>
      <family val="2"/>
      <scheme val="major"/>
    </font>
    <font>
      <b/>
      <sz val="16"/>
      <color theme="2" tint="-0.89999084444715716"/>
      <name val="Aptos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1"/>
      <name val="Aptos Narrow"/>
      <family val="2"/>
      <scheme val="minor"/>
    </font>
    <font>
      <sz val="11"/>
      <color theme="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1B5E"/>
        <bgColor indexed="64"/>
      </patternFill>
    </fill>
    <fill>
      <patternFill patternType="solid">
        <fgColor rgb="FFEAF0F6"/>
      </patternFill>
    </fill>
    <fill>
      <patternFill patternType="solid">
        <fgColor rgb="FF001647"/>
        <bgColor indexed="64"/>
      </patternFill>
    </fill>
    <fill>
      <patternFill patternType="solid">
        <fgColor rgb="FFE7EDF8"/>
        <bgColor indexed="64"/>
      </patternFill>
    </fill>
    <fill>
      <patternFill patternType="solid">
        <fgColor rgb="FFE8E5D9"/>
        <bgColor indexed="64"/>
      </patternFill>
    </fill>
    <fill>
      <patternFill patternType="solid">
        <fgColor rgb="FFE3EDD4"/>
        <bgColor indexed="64"/>
      </patternFill>
    </fill>
  </fills>
  <borders count="2">
    <border>
      <left/>
      <right/>
      <top/>
      <bottom/>
      <diagonal/>
    </border>
    <border>
      <left style="medium">
        <color rgb="FF779E3D"/>
      </left>
      <right style="medium">
        <color rgb="FF779E3D"/>
      </right>
      <top style="medium">
        <color rgb="FF779E3D"/>
      </top>
      <bottom style="medium">
        <color rgb="FF779E3D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3" fontId="6" fillId="0" borderId="0" xfId="0" applyNumberFormat="1" applyFont="1"/>
    <xf numFmtId="4" fontId="6" fillId="0" borderId="0" xfId="0" applyNumberFormat="1" applyFont="1"/>
    <xf numFmtId="10" fontId="6" fillId="0" borderId="0" xfId="2" applyNumberFormat="1" applyFont="1"/>
    <xf numFmtId="164" fontId="6" fillId="0" borderId="0" xfId="0" applyNumberFormat="1" applyFont="1"/>
    <xf numFmtId="10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3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2" fontId="6" fillId="0" borderId="0" xfId="0" applyNumberFormat="1" applyFont="1"/>
    <xf numFmtId="167" fontId="6" fillId="0" borderId="0" xfId="0" applyNumberFormat="1" applyFont="1"/>
    <xf numFmtId="0" fontId="12" fillId="6" borderId="0" xfId="0" applyFont="1" applyFill="1" applyAlignment="1">
      <alignment horizontal="left" vertical="center"/>
    </xf>
    <xf numFmtId="10" fontId="3" fillId="6" borderId="0" xfId="0" applyNumberFormat="1" applyFont="1" applyFill="1" applyAlignment="1">
      <alignment horizontal="right" vertical="center"/>
    </xf>
    <xf numFmtId="3" fontId="3" fillId="6" borderId="0" xfId="0" applyNumberFormat="1" applyFont="1" applyFill="1" applyAlignment="1">
      <alignment horizontal="right" vertical="center"/>
    </xf>
    <xf numFmtId="0" fontId="13" fillId="6" borderId="0" xfId="0" applyFont="1" applyFill="1" applyAlignment="1">
      <alignment horizontal="left" vertical="center"/>
    </xf>
    <xf numFmtId="0" fontId="6" fillId="0" borderId="0" xfId="0" applyFont="1" applyAlignment="1">
      <alignment horizontal="right"/>
    </xf>
    <xf numFmtId="4" fontId="14" fillId="6" borderId="0" xfId="0" applyNumberFormat="1" applyFont="1" applyFill="1" applyAlignment="1">
      <alignment horizontal="right" vertical="center"/>
    </xf>
    <xf numFmtId="3" fontId="14" fillId="6" borderId="0" xfId="0" applyNumberFormat="1" applyFont="1" applyFill="1" applyAlignment="1">
      <alignment horizontal="right" vertical="center"/>
    </xf>
    <xf numFmtId="10" fontId="14" fillId="6" borderId="0" xfId="0" applyNumberFormat="1" applyFont="1" applyFill="1" applyAlignment="1">
      <alignment horizontal="right" vertical="center"/>
    </xf>
    <xf numFmtId="166" fontId="14" fillId="6" borderId="0" xfId="0" applyNumberFormat="1" applyFont="1" applyFill="1" applyAlignment="1">
      <alignment horizontal="right" vertical="center"/>
    </xf>
    <xf numFmtId="165" fontId="14" fillId="6" borderId="0" xfId="0" applyNumberFormat="1" applyFont="1" applyFill="1" applyAlignment="1">
      <alignment horizontal="right" vertical="center"/>
    </xf>
    <xf numFmtId="2" fontId="14" fillId="6" borderId="0" xfId="0" applyNumberFormat="1" applyFont="1" applyFill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3" fontId="7" fillId="4" borderId="0" xfId="1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 vertical="center"/>
    </xf>
    <xf numFmtId="10" fontId="7" fillId="4" borderId="0" xfId="2" applyNumberFormat="1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20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/>
    </xf>
    <xf numFmtId="0" fontId="19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0" fontId="9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/>
    </xf>
    <xf numFmtId="0" fontId="16" fillId="5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37">
    <dxf>
      <font>
        <color rgb="FFE64E36"/>
      </font>
      <fill>
        <patternFill>
          <bgColor rgb="FFF7ADA1"/>
        </patternFill>
      </fill>
    </dxf>
    <dxf>
      <font>
        <color rgb="FF006100"/>
      </font>
      <fill>
        <patternFill>
          <bgColor rgb="FFE3EDD4"/>
        </patternFill>
      </fill>
    </dxf>
    <dxf>
      <font>
        <color rgb="FFE64E36"/>
      </font>
      <fill>
        <patternFill>
          <bgColor rgb="FFF7ADA1"/>
        </patternFill>
      </fill>
    </dxf>
    <dxf>
      <font>
        <color theme="9" tint="-0.499984740745262"/>
      </font>
      <fill>
        <patternFill>
          <bgColor rgb="FFE3EDD4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E3EDD4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numFmt numFmtId="14" formatCode="0.00%"/>
    </dxf>
    <dxf>
      <numFmt numFmtId="14" formatCode="0.00%"/>
    </dxf>
    <dxf>
      <numFmt numFmtId="14" formatCode="0.00%"/>
    </dxf>
    <dxf>
      <alignment horizontal="righ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\+0.00%;\-0.00%;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\+0.00\ &quot;pp&quot;;\-0.00\ &quot;pp&quot;;0.00\ &quot;pp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6" formatCode="\+0.00%;\-0.00%;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#,##0.00;[Red]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rgb="FF001B5E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43FBE"/>
      <color rgb="FFA1B9ED"/>
      <color rgb="FF001647"/>
      <color rgb="FF10100F"/>
      <color rgb="FF5E5D5A"/>
      <color rgb="FF8F8D85"/>
      <color rgb="FFE8E5D9"/>
      <color rgb="FF3E3E3D"/>
      <color rgb="FF779E3D"/>
      <color rgb="FFF7AD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100F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100F"/>
                </a:solidFill>
                <a:latin typeface="+mj-lt"/>
              </a:rPr>
              <a:t>Item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100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Review'!$Q$14</c:f>
              <c:strCache>
                <c:ptCount val="1"/>
                <c:pt idx="0">
                  <c:v>Peers</c:v>
                </c:pt>
              </c:strCache>
            </c:strRef>
          </c:tx>
          <c:spPr>
            <a:solidFill>
              <a:srgbClr val="0016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Review'!$P$15:$P$24</c:f>
              <c:strCache>
                <c:ptCount val="10"/>
                <c:pt idx="0">
                  <c:v>Watches Gifts</c:v>
                </c:pt>
                <c:pt idx="1">
                  <c:v>Bed Bath Table</c:v>
                </c:pt>
                <c:pt idx="2">
                  <c:v>Sports Leisure</c:v>
                </c:pt>
                <c:pt idx="3">
                  <c:v>Computers Accessories</c:v>
                </c:pt>
                <c:pt idx="4">
                  <c:v>Furniture Decor</c:v>
                </c:pt>
                <c:pt idx="5">
                  <c:v>Housewares</c:v>
                </c:pt>
                <c:pt idx="6">
                  <c:v>Cool Stuff</c:v>
                </c:pt>
                <c:pt idx="7">
                  <c:v>Auto</c:v>
                </c:pt>
                <c:pt idx="8">
                  <c:v>Toys</c:v>
                </c:pt>
                <c:pt idx="9">
                  <c:v>Garden Tools</c:v>
                </c:pt>
              </c:strCache>
            </c:strRef>
          </c:cat>
          <c:val>
            <c:numRef>
              <c:f>'Category Review'!$Q$15:$Q$24</c:f>
              <c:numCache>
                <c:formatCode>General</c:formatCode>
                <c:ptCount val="10"/>
                <c:pt idx="0">
                  <c:v>1166176.98</c:v>
                </c:pt>
                <c:pt idx="1">
                  <c:v>1023434.76</c:v>
                </c:pt>
                <c:pt idx="2">
                  <c:v>954852.55</c:v>
                </c:pt>
                <c:pt idx="3">
                  <c:v>#N/A</c:v>
                </c:pt>
                <c:pt idx="4">
                  <c:v>711927.69</c:v>
                </c:pt>
                <c:pt idx="5">
                  <c:v>615628.68999999994</c:v>
                </c:pt>
                <c:pt idx="6">
                  <c:v>610204.1</c:v>
                </c:pt>
                <c:pt idx="7">
                  <c:v>578966.65</c:v>
                </c:pt>
                <c:pt idx="8">
                  <c:v>471286.48</c:v>
                </c:pt>
                <c:pt idx="9">
                  <c:v>470495.28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E7-42A1-90FA-A2BBDD58CA97}"/>
            </c:ext>
          </c:extLst>
        </c:ser>
        <c:ser>
          <c:idx val="1"/>
          <c:order val="1"/>
          <c:tx>
            <c:strRef>
              <c:f>'Category Review'!$R$14</c:f>
              <c:strCache>
                <c:ptCount val="1"/>
                <c:pt idx="0">
                  <c:v>Selected</c:v>
                </c:pt>
              </c:strCache>
            </c:strRef>
          </c:tx>
          <c:spPr>
            <a:solidFill>
              <a:srgbClr val="043FB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43FB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859-48AA-AFDF-2F086852A009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Review'!$P$15:$P$24</c:f>
              <c:strCache>
                <c:ptCount val="10"/>
                <c:pt idx="0">
                  <c:v>Watches Gifts</c:v>
                </c:pt>
                <c:pt idx="1">
                  <c:v>Bed Bath Table</c:v>
                </c:pt>
                <c:pt idx="2">
                  <c:v>Sports Leisure</c:v>
                </c:pt>
                <c:pt idx="3">
                  <c:v>Computers Accessories</c:v>
                </c:pt>
                <c:pt idx="4">
                  <c:v>Furniture Decor</c:v>
                </c:pt>
                <c:pt idx="5">
                  <c:v>Housewares</c:v>
                </c:pt>
                <c:pt idx="6">
                  <c:v>Cool Stuff</c:v>
                </c:pt>
                <c:pt idx="7">
                  <c:v>Auto</c:v>
                </c:pt>
                <c:pt idx="8">
                  <c:v>Toys</c:v>
                </c:pt>
                <c:pt idx="9">
                  <c:v>Garden Tools</c:v>
                </c:pt>
              </c:strCache>
            </c:strRef>
          </c:cat>
          <c:val>
            <c:numRef>
              <c:f>'Category Review'!$R$15:$R$24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888724.61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E7-42A1-90FA-A2BBDD58CA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14119056"/>
        <c:axId val="878549296"/>
      </c:barChart>
      <c:catAx>
        <c:axId val="1214119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E5D5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49296"/>
        <c:crosses val="autoZero"/>
        <c:auto val="1"/>
        <c:lblAlgn val="ctr"/>
        <c:lblOffset val="100"/>
        <c:noMultiLvlLbl val="0"/>
      </c:catAx>
      <c:valAx>
        <c:axId val="878549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41190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100F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100F"/>
                </a:solidFill>
                <a:latin typeface="+mj-lt"/>
              </a:rPr>
              <a:t>Item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100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Review'!$I$28</c:f>
              <c:strCache>
                <c:ptCount val="1"/>
                <c:pt idx="0">
                  <c:v>Item Sales Value</c:v>
                </c:pt>
              </c:strCache>
            </c:strRef>
          </c:tx>
          <c:spPr>
            <a:solidFill>
              <a:srgbClr val="0016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5E5D5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Review'!$H$29:$H$30</c:f>
              <c:strCache>
                <c:ptCount val="2"/>
                <c:pt idx="0">
                  <c:v>Jan–Aug 2017</c:v>
                </c:pt>
                <c:pt idx="1">
                  <c:v>Jan–Aug 2018</c:v>
                </c:pt>
              </c:strCache>
            </c:strRef>
          </c:cat>
          <c:val>
            <c:numRef>
              <c:f>'Category Review'!$I$29:$I$30</c:f>
              <c:numCache>
                <c:formatCode>#,##0.00</c:formatCode>
                <c:ptCount val="2"/>
                <c:pt idx="0">
                  <c:v>214631.27</c:v>
                </c:pt>
                <c:pt idx="1">
                  <c:v>496269.3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3-4560-AB57-4399920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768032"/>
        <c:axId val="769365808"/>
      </c:barChart>
      <c:catAx>
        <c:axId val="14607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E5D5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365808"/>
        <c:crosses val="autoZero"/>
        <c:auto val="1"/>
        <c:lblAlgn val="ctr"/>
        <c:lblOffset val="100"/>
        <c:noMultiLvlLbl val="0"/>
      </c:catAx>
      <c:valAx>
        <c:axId val="769365808"/>
        <c:scaling>
          <c:orientation val="minMax"/>
        </c:scaling>
        <c:delete val="1"/>
        <c:axPos val="l"/>
        <c:numFmt formatCode="#,##0.00" sourceLinked="1"/>
        <c:majorTickMark val="out"/>
        <c:minorTickMark val="none"/>
        <c:tickLblPos val="nextTo"/>
        <c:crossAx val="146076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10509</xdr:colOff>
      <xdr:row>11</xdr:row>
      <xdr:rowOff>183815</xdr:rowOff>
    </xdr:from>
    <xdr:to>
      <xdr:col>13</xdr:col>
      <xdr:colOff>807676</xdr:colOff>
      <xdr:row>24</xdr:row>
      <xdr:rowOff>16710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0D0E64-C996-DAA0-B5A7-D3B0FD689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3528</xdr:colOff>
      <xdr:row>27</xdr:row>
      <xdr:rowOff>9072</xdr:rowOff>
    </xdr:from>
    <xdr:to>
      <xdr:col>14</xdr:col>
      <xdr:colOff>0</xdr:colOff>
      <xdr:row>38</xdr:row>
      <xdr:rowOff>7055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5AF3B-67DB-6BE1-CF1C-173C9CE6D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BEDED8-B41E-4184-9A57-41AC296157A1}" name="CategoryDetailData" displayName="CategoryDetailData" ref="A5:R79" totalsRowShown="0" headerRowDxfId="36" dataDxfId="35">
  <autoFilter ref="A5:R79" xr:uid="{B2BEDED8-B41E-4184-9A57-41AC296157A1}"/>
  <tableColumns count="18">
    <tableColumn id="1" xr3:uid="{CB26559F-873F-452A-BF00-EFF233EA4577}" name="Category" dataDxfId="34">
      <calculatedColumnFormula>_xlfn.XLOOKUP(
    $R6,
    CategoryPerformanceData[category_name],
    CategoryPerformanceData[display_category],
    ""
)</calculatedColumnFormula>
    </tableColumn>
    <tableColumn id="2" xr3:uid="{9BB03DF2-6863-4AA6-A7DB-B3A615C5BE79}" name="Completed Orders" dataDxfId="33">
      <calculatedColumnFormula>_xlfn.XLOOKUP(
    $R6,
    CategoryPerformanceData[category_name],
    CategoryPerformanceData[completed_orders],
    ""
)</calculatedColumnFormula>
    </tableColumn>
    <tableColumn id="3" xr3:uid="{A29D6BF7-C498-4D5F-92A9-2B63AF1DBED0}" name="Items Sold" dataDxfId="32">
      <calculatedColumnFormula>_xlfn.XLOOKUP(
    $R6,
    CategoryPerformanceData[category_name],
    CategoryPerformanceData[items_sold],
    ""
)</calculatedColumnFormula>
    </tableColumn>
    <tableColumn id="4" xr3:uid="{2D9AB3C9-2848-482D-9326-81A18190C81B}" name="Products Sold" dataDxfId="31">
      <calculatedColumnFormula>_xlfn.XLOOKUP(
    $R6,
    CategoryPerformanceData[category_name],
    CategoryPerformanceData[products_sold],
    ""
)</calculatedColumnFormula>
    </tableColumn>
    <tableColumn id="5" xr3:uid="{7ECE295A-731C-42FD-8EAC-64C6AF39C2B0}" name="Item Sales Value" dataDxfId="30">
      <calculatedColumnFormula>_xlfn.XLOOKUP(
    $R6,
    CategoryPerformanceData[category_name],
    CategoryPerformanceData[item_sales_value],
    ""
)</calculatedColumnFormula>
    </tableColumn>
    <tableColumn id="6" xr3:uid="{2CE074B3-4247-4A03-BAF6-37B7F2571140}" name="Sales Share" dataDxfId="29" dataCellStyle="Percent">
      <calculatedColumnFormula>_xlfn.XLOOKUP(
    $R6,
    CategoryPerformanceData[category_name],
    CategoryPerformanceData[item_sales_value_share_pct],
    ""
)</calculatedColumnFormula>
    </tableColumn>
    <tableColumn id="7" xr3:uid="{E8C3DB80-3F99-4663-B338-EE7A61590CE2}" name="Avg Item Price" dataDxfId="28">
      <calculatedColumnFormula>_xlfn.XLOOKUP(
    $R6,
    CategoryPerformanceData[category_name],
    CategoryPerformanceData[avg_item_price],
    ""
)</calculatedColumnFormula>
    </tableColumn>
    <tableColumn id="8" xr3:uid="{6E632DAE-DDE7-48FD-A9B1-7B61FC88640E}" name="2017 Sales Value" dataDxfId="27">
      <calculatedColumnFormula>_xlfn.XLOOKUP(
    $R6,
    CategoryGrowthData[category_name],
    CategoryGrowthData[item_sales_value_2017],
    ""
)</calculatedColumnFormula>
    </tableColumn>
    <tableColumn id="9" xr3:uid="{EC666FAF-F149-4E03-85E8-D8D7EE1B4AE6}" name="2018 Sales Value" dataDxfId="26">
      <calculatedColumnFormula>_xlfn.XLOOKUP(
    $R6,
    CategoryGrowthData[category_name],
    CategoryGrowthData[item_sales_value_2018],
    ""
)</calculatedColumnFormula>
    </tableColumn>
    <tableColumn id="10" xr3:uid="{BC303F6A-30A4-4BCE-B2D6-DFBEB00F44BC}" name="Sales Value Change" dataDxfId="25">
      <calculatedColumnFormula>_xlfn.XLOOKUP(
    $R6,
    CategoryGrowthData[category_name],
    CategoryGrowthData[item_sales_value_change],
    ""
)</calculatedColumnFormula>
    </tableColumn>
    <tableColumn id="11" xr3:uid="{D9ED5756-8521-47A9-B7BB-6D488C7BC3F9}" name="Sales Growth" dataDxfId="24">
      <calculatedColumnFormula>_xlfn.LET(
    _xlpm.cat, $R6,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calculatedColumnFormula>
    </tableColumn>
    <tableColumn id="12" xr3:uid="{E3D24D5C-B73C-489D-8CA6-EA47B0A76475}" name="Share Change pp " dataDxfId="23">
      <calculatedColumnFormula>_xlfn.XLOOKUP(
    $R6,
    CategoryGrowthData[category_name],
    CategoryGrowthData[marketplace_share_change_pp],
    ""
)</calculatedColumnFormula>
    </tableColumn>
    <tableColumn id="13" xr3:uid="{C874E8BD-9F27-4875-877D-E04A62DD8DCA}" name="Growth Contribution " dataDxfId="22">
      <calculatedColumnFormula>_xlfn.XLOOKUP(
    $R6,
    CategoryGrowthData[category_name],
    CategoryGrowthData[contribution_to_sales_growth_pct],
    ""
)</calculatedColumnFormula>
    </tableColumn>
    <tableColumn id="14" xr3:uid="{2825400A-DAD9-4CF8-A62C-335CD3D4CFEB}" name="Reviewed Orders " dataDxfId="21">
      <calculatedColumnFormula>_xlfn.XLOOKUP(
    $R6,
    CategoryReviewData[category_name],
    CategoryReviewData[reviewed_orders],
    ""
)</calculatedColumnFormula>
    </tableColumn>
    <tableColumn id="15" xr3:uid="{2D232764-4A02-4AFA-9264-BABF43311681}" name="Avg Review Score" dataDxfId="20">
      <calculatedColumnFormula>_xlfn.XLOOKUP(
    $R6,
    CategoryReviewData[category_name],
    CategoryReviewData[avg_review_score],
    ""
)</calculatedColumnFormula>
    </tableColumn>
    <tableColumn id="16" xr3:uid="{142C8C1D-BF30-4AA1-91D3-F977FD6DCFDF}" name="Low Review Rate" dataDxfId="19">
      <calculatedColumnFormula>_xlfn.XLOOKUP(
    $R6,
    CategoryReviewData[category_name],
    CategoryReviewData[low_review_rate_pct],
    ""
)</calculatedColumnFormula>
    </tableColumn>
    <tableColumn id="17" xr3:uid="{9870E2FC-8820-4C34-99C3-114E82642836}" name="High Review Rate" dataDxfId="18">
      <calculatedColumnFormula>_xlfn.XLOOKUP(
    $R6,
    CategoryReviewData[category_name],
    CategoryReviewData[high_review_rate_pct],
    ""
)</calculatedColumnFormula>
    </tableColumn>
    <tableColumn id="18" xr3:uid="{6D093D2E-ACFF-422C-BA2A-695A5D469022}" name="Category Key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27CE3-000C-43A2-88D4-EFF741778945}" name="CategoryPerformanceData" displayName="CategoryPerformanceData" ref="A1:J75" totalsRowShown="0">
  <autoFilter ref="A1:J75" xr:uid="{DDF27CE3-000C-43A2-88D4-EFF741778945}"/>
  <tableColumns count="10">
    <tableColumn id="1" xr3:uid="{5F6A8EC6-44C8-486A-9434-55B850B316F0}" name="category_name"/>
    <tableColumn id="2" xr3:uid="{1F48D3FE-3642-4EBF-B84D-F24254B5F712}" name="completed_orders"/>
    <tableColumn id="3" xr3:uid="{09AAE7BA-71D4-4887-915B-4723CF432478}" name="items_sold"/>
    <tableColumn id="4" xr3:uid="{B9D89CF5-568E-44A8-BD0C-23F8A4DA1A9D}" name="products_sold"/>
    <tableColumn id="5" xr3:uid="{65A487D7-DDA4-4D95-93C0-589C765FD037}" name="item_sales_value"/>
    <tableColumn id="6" xr3:uid="{6E60AC8F-730C-4E0A-8909-F47F41D87170}" name="item_sales_value_share_pct" dataDxfId="16"/>
    <tableColumn id="7" xr3:uid="{7CD9B95F-348B-494B-A6EA-ED54410ADCF6}" name="item_share_pct" dataDxfId="15"/>
    <tableColumn id="8" xr3:uid="{A8D3D4CC-4A7C-44D3-A8C7-C0003F7C6A36}" name="avg_item_price"/>
    <tableColumn id="9" xr3:uid="{57A30159-53B6-4DFF-9BA3-8725873FAEF3}" name="avg_category_sales_value_per_order"/>
    <tableColumn id="10" xr3:uid="{3437173F-4F7C-4573-8985-9BC526DCF9E4}" name="display_category">
      <calculatedColumnFormula>PROPER(SUBSTITUTE(A2,"_"," 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8BF64-3BFE-4A6D-8EAE-246FCD62A29C}" name="CategoryGrowthData" displayName="CategoryGrowthData" ref="A1:M75" totalsRowShown="0">
  <autoFilter ref="A1:M75" xr:uid="{AC18BF64-3BFE-4A6D-8EAE-246FCD62A29C}"/>
  <tableColumns count="13">
    <tableColumn id="1" xr3:uid="{117A8C9C-6E92-40DA-BFCA-2A3C78A73F85}" name="category_name"/>
    <tableColumn id="2" xr3:uid="{B8F127D3-FB3B-4C9E-B9B9-FC30551F2F66}" name="completed_orders_2017"/>
    <tableColumn id="3" xr3:uid="{D8AD20CA-CE15-4A19-9AC9-CDC837DE8411}" name="completed_orders_2018"/>
    <tableColumn id="4" xr3:uid="{7CA31702-52EF-4090-9A42-0A9432B4026F}" name="items_sold_2017"/>
    <tableColumn id="5" xr3:uid="{4428E793-0B8F-4F4A-A8A0-533F589B2F20}" name="items_sold_2018"/>
    <tableColumn id="6" xr3:uid="{FF670630-3928-4D3F-8655-07F1C1C307A3}" name="item_sales_value_2017"/>
    <tableColumn id="7" xr3:uid="{3F840776-F826-49DB-B8F0-DCE1DD63A026}" name="item_sales_value_2018"/>
    <tableColumn id="8" xr3:uid="{218400E0-862D-41C7-B6AB-C5065DB73645}" name="item_sales_value_change"/>
    <tableColumn id="9" xr3:uid="{ECA16887-69BE-4AF8-AC24-0671E8701446}" name="item_sales_value_growth_pct" dataDxfId="14"/>
    <tableColumn id="10" xr3:uid="{CA140520-9056-47A4-A5E6-3D6858E29775}" name="marketplace_share_2017_pct" dataDxfId="13"/>
    <tableColumn id="11" xr3:uid="{35860502-8479-4548-AB05-73887C06A49B}" name="marketplace_share_2018_pct" dataDxfId="12"/>
    <tableColumn id="12" xr3:uid="{16FD085C-157D-4F77-8819-848E20B286C7}" name="marketplace_share_change_pp"/>
    <tableColumn id="13" xr3:uid="{1BC1A7EC-E254-4221-9FB1-A17BF2319CCC}" name="contribution_to_sales_growth_pct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9257F0-3ADB-4563-80FC-6331E4C6C2F9}" name="CategoryReviewData" displayName="CategoryReviewData" ref="A1:G75" totalsRowShown="0">
  <autoFilter ref="A1:G75" xr:uid="{FE9257F0-3ADB-4563-80FC-6331E4C6C2F9}"/>
  <tableColumns count="7">
    <tableColumn id="1" xr3:uid="{B2ADA9CB-AE44-4FD2-95ED-5A5A417F7CB3}" name="category_name"/>
    <tableColumn id="2" xr3:uid="{34C2ED9A-E75B-49C9-89E9-3D0A47D50F94}" name="orders_with_category" dataDxfId="10"/>
    <tableColumn id="3" xr3:uid="{D2953BDC-4373-4327-B7FA-A8C2FA67BCD3}" name="reviewed_orders"/>
    <tableColumn id="4" xr3:uid="{FA095718-2113-411F-8EE4-16C305163A00}" name="review_coverage_pct" dataDxfId="9"/>
    <tableColumn id="5" xr3:uid="{F04F71A5-A5C5-462F-9F04-CB7DAFD9AEF4}" name="avg_review_score"/>
    <tableColumn id="6" xr3:uid="{225CB204-9B62-4E18-9D3E-44B7DD60FEEF}" name="low_review_rate_pct" dataDxfId="8"/>
    <tableColumn id="7" xr3:uid="{A1EA007D-B7C2-4FE3-A874-BD31C0B45598}" name="high_review_rate_pc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117E-BEDB-41C9-9EE6-306F209AC299}">
  <sheetPr>
    <tabColor rgb="FFE64E36"/>
  </sheetPr>
  <dimension ref="A1:S22"/>
  <sheetViews>
    <sheetView tabSelected="1" zoomScaleNormal="100" workbookViewId="0">
      <selection activeCell="Q10" sqref="Q10"/>
    </sheetView>
  </sheetViews>
  <sheetFormatPr defaultRowHeight="14.5" x14ac:dyDescent="0.35"/>
  <cols>
    <col min="3" max="3" width="9.7265625" customWidth="1"/>
    <col min="9" max="15" width="8.7265625" customWidth="1"/>
  </cols>
  <sheetData>
    <row r="1" spans="1:19" x14ac:dyDescent="0.3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x14ac:dyDescent="0.3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4" spans="1:19" ht="18.5" x14ac:dyDescent="0.45">
      <c r="A4" s="61" t="s">
        <v>162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spans="1:19" x14ac:dyDescent="0.35">
      <c r="A5" s="55" t="s">
        <v>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7" spans="1:19" x14ac:dyDescent="0.35">
      <c r="A7" s="64" t="s">
        <v>2</v>
      </c>
      <c r="B7" s="65"/>
      <c r="C7" s="65"/>
      <c r="D7" s="64" t="s">
        <v>3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9" x14ac:dyDescent="0.35">
      <c r="A8" s="54" t="s">
        <v>4</v>
      </c>
      <c r="B8" s="54"/>
      <c r="C8" s="54"/>
      <c r="D8" s="55" t="s">
        <v>27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</row>
    <row r="9" spans="1:19" x14ac:dyDescent="0.35">
      <c r="A9" s="54" t="s">
        <v>5</v>
      </c>
      <c r="B9" s="54"/>
      <c r="C9" s="54"/>
      <c r="D9" s="55" t="s">
        <v>7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 spans="1:19" x14ac:dyDescent="0.35">
      <c r="A10" s="54" t="s">
        <v>19</v>
      </c>
      <c r="B10" s="54"/>
      <c r="C10" s="54"/>
      <c r="D10" s="55" t="s">
        <v>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9" x14ac:dyDescent="0.35">
      <c r="A11" s="54" t="s">
        <v>20</v>
      </c>
      <c r="B11" s="54"/>
      <c r="C11" s="54"/>
      <c r="D11" s="55" t="s">
        <v>9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1:19" x14ac:dyDescent="0.35">
      <c r="A12" s="54" t="s">
        <v>21</v>
      </c>
      <c r="B12" s="54"/>
      <c r="C12" s="54"/>
      <c r="D12" s="55" t="s">
        <v>10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9" x14ac:dyDescent="0.35">
      <c r="A13" s="3"/>
      <c r="B13" s="3"/>
      <c r="C13" s="3"/>
    </row>
    <row r="14" spans="1:19" x14ac:dyDescent="0.35">
      <c r="A14" s="57" t="s">
        <v>6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</row>
    <row r="15" spans="1:19" x14ac:dyDescent="0.35">
      <c r="A15" s="54" t="s">
        <v>11</v>
      </c>
      <c r="B15" s="54"/>
      <c r="C15" s="54"/>
      <c r="D15" s="55" t="s">
        <v>22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 spans="1:19" x14ac:dyDescent="0.35">
      <c r="A16" s="54" t="s">
        <v>12</v>
      </c>
      <c r="B16" s="54"/>
      <c r="C16" s="54"/>
      <c r="D16" s="55" t="s">
        <v>23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 spans="1:17" x14ac:dyDescent="0.35">
      <c r="A17" s="54" t="s">
        <v>13</v>
      </c>
      <c r="B17" s="54"/>
      <c r="C17" s="54"/>
      <c r="D17" s="55" t="s">
        <v>17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 spans="1:17" x14ac:dyDescent="0.35">
      <c r="A18" s="54" t="s">
        <v>14</v>
      </c>
      <c r="B18" s="54"/>
      <c r="C18" s="54"/>
      <c r="D18" s="55" t="s">
        <v>18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Q18" t="s">
        <v>26</v>
      </c>
    </row>
    <row r="19" spans="1:17" x14ac:dyDescent="0.35">
      <c r="A19" s="54" t="s">
        <v>15</v>
      </c>
      <c r="B19" s="54"/>
      <c r="C19" s="54"/>
      <c r="D19" s="55" t="s">
        <v>25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1:17" x14ac:dyDescent="0.35">
      <c r="A20" s="54" t="s">
        <v>16</v>
      </c>
      <c r="B20" s="54"/>
      <c r="C20" s="54"/>
      <c r="D20" s="55" t="s">
        <v>24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1:17" x14ac:dyDescent="0.35">
      <c r="A21" s="54"/>
      <c r="B21" s="54"/>
      <c r="C21" s="54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</row>
    <row r="22" spans="1:17" x14ac:dyDescent="0.35">
      <c r="A22" s="54"/>
      <c r="B22" s="54"/>
      <c r="C22" s="54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</row>
  </sheetData>
  <mergeCells count="32">
    <mergeCell ref="A8:C8"/>
    <mergeCell ref="D8:O8"/>
    <mergeCell ref="A9:C9"/>
    <mergeCell ref="D9:O9"/>
    <mergeCell ref="A1:S2"/>
    <mergeCell ref="A4:S4"/>
    <mergeCell ref="A5:S5"/>
    <mergeCell ref="A7:C7"/>
    <mergeCell ref="D7:O7"/>
    <mergeCell ref="A10:C10"/>
    <mergeCell ref="D10:O10"/>
    <mergeCell ref="A11:C11"/>
    <mergeCell ref="D11:O11"/>
    <mergeCell ref="A12:C12"/>
    <mergeCell ref="D12:O12"/>
    <mergeCell ref="A14:O14"/>
    <mergeCell ref="A15:C15"/>
    <mergeCell ref="D15:O15"/>
    <mergeCell ref="A16:C16"/>
    <mergeCell ref="D16:O16"/>
    <mergeCell ref="A17:C17"/>
    <mergeCell ref="D17:O17"/>
    <mergeCell ref="A18:C18"/>
    <mergeCell ref="D18:O18"/>
    <mergeCell ref="A19:C19"/>
    <mergeCell ref="D19:O19"/>
    <mergeCell ref="A20:C20"/>
    <mergeCell ref="D20:O20"/>
    <mergeCell ref="A21:C21"/>
    <mergeCell ref="D21:O21"/>
    <mergeCell ref="A22:C22"/>
    <mergeCell ref="D22:O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2454-E47B-4006-9330-70EEB1BE35E5}">
  <sheetPr>
    <tabColor rgb="FF779E3D"/>
    <pageSetUpPr fitToPage="1"/>
  </sheetPr>
  <dimension ref="A1:R38"/>
  <sheetViews>
    <sheetView zoomScale="63" zoomScaleNormal="96" workbookViewId="0">
      <selection activeCell="V25" sqref="V25"/>
    </sheetView>
  </sheetViews>
  <sheetFormatPr defaultRowHeight="14.5" x14ac:dyDescent="0.35"/>
  <cols>
    <col min="1" max="1" width="12.36328125" style="2" bestFit="1" customWidth="1"/>
    <col min="2" max="2" width="73.6328125" style="2" bestFit="1" customWidth="1"/>
    <col min="3" max="3" width="19" style="2" bestFit="1" customWidth="1"/>
    <col min="4" max="4" width="16.7265625" style="2" bestFit="1" customWidth="1"/>
    <col min="5" max="5" width="16.36328125" style="2" bestFit="1" customWidth="1"/>
    <col min="6" max="6" width="20" style="2" bestFit="1" customWidth="1"/>
    <col min="7" max="7" width="21.26953125" style="2" bestFit="1" customWidth="1"/>
    <col min="8" max="8" width="14.81640625" style="2" bestFit="1" customWidth="1"/>
    <col min="9" max="9" width="16.08984375" style="2" bestFit="1" customWidth="1"/>
    <col min="10" max="10" width="16.7265625" style="2" bestFit="1" customWidth="1"/>
    <col min="11" max="11" width="11.6328125" style="2" customWidth="1"/>
    <col min="12" max="12" width="8.7265625" style="2"/>
    <col min="13" max="13" width="15.90625" style="2" bestFit="1" customWidth="1"/>
    <col min="14" max="14" width="11.81640625" style="2" customWidth="1"/>
    <col min="15" max="15" width="8.7265625" style="2"/>
    <col min="16" max="16" width="13.1796875" style="2" hidden="1" customWidth="1"/>
    <col min="17" max="17" width="11.7265625" style="2" hidden="1" customWidth="1"/>
    <col min="18" max="18" width="0" style="2" hidden="1" customWidth="1"/>
    <col min="19" max="16384" width="8.7265625" style="2"/>
  </cols>
  <sheetData>
    <row r="1" spans="1:18" x14ac:dyDescent="0.35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8" x14ac:dyDescent="0.3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8" x14ac:dyDescent="0.35">
      <c r="A3" s="70" t="s">
        <v>148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5" spans="1:18" ht="21.5" thickBot="1" x14ac:dyDescent="0.4">
      <c r="A5" s="71" t="s">
        <v>149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8" ht="24" thickBot="1" x14ac:dyDescent="0.4">
      <c r="A6" s="48" t="s">
        <v>129</v>
      </c>
      <c r="B6" s="45" t="s">
        <v>165</v>
      </c>
      <c r="D6" s="28" t="s">
        <v>133</v>
      </c>
      <c r="E6" s="30">
        <f>_xlfn.XLOOKUP(
    $B$6,
    CategoryDetailData[Category],
    CategoryDetailData[Item Sales Value],
    ""
)</f>
        <v>888724.61</v>
      </c>
      <c r="F6" s="46"/>
      <c r="G6" s="28" t="s">
        <v>134</v>
      </c>
      <c r="H6" s="32">
        <f>_xlfn.XLOOKUP(
    $B$6,
    CategoryDetailData[Category],
    CategoryDetailData[Sales Share],
    ""
)</f>
        <v>6.7199999999999996E-2</v>
      </c>
      <c r="I6" s="46"/>
      <c r="J6" s="28" t="s">
        <v>139</v>
      </c>
      <c r="K6" s="33">
        <f>_xlfn.XLOOKUP(
    $B$6,
    CategoryDetailData[Category],
    CategoryDetailData[Sales Growth],
    ""
)</f>
        <v>1.3122</v>
      </c>
      <c r="L6" s="46"/>
      <c r="M6" s="28" t="s">
        <v>140</v>
      </c>
      <c r="N6" s="35">
        <f>_xlfn.XLOOKUP(
    $B$6,
    CategoryDetailData[Category],
    CategoryDetailData[Avg Review Score],
    ""
)</f>
        <v>4.03</v>
      </c>
    </row>
    <row r="7" spans="1:18" x14ac:dyDescent="0.35">
      <c r="D7" s="46"/>
      <c r="E7" s="50"/>
      <c r="F7" s="46"/>
      <c r="G7" s="46"/>
      <c r="H7" s="46"/>
      <c r="I7" s="46"/>
      <c r="J7" s="46"/>
      <c r="K7" s="46"/>
      <c r="L7" s="46"/>
      <c r="M7" s="46"/>
      <c r="N7" s="47"/>
    </row>
    <row r="8" spans="1:18" x14ac:dyDescent="0.35">
      <c r="C8" s="29"/>
      <c r="D8" s="28" t="s">
        <v>130</v>
      </c>
      <c r="E8" s="31">
        <f>_xlfn.XLOOKUP(
    $B$6,
    CategoryDetailData[Category],
    CategoryDetailData[Completed Orders],
    ""
)</f>
        <v>6530</v>
      </c>
      <c r="F8" s="46"/>
      <c r="G8" s="28" t="s">
        <v>150</v>
      </c>
      <c r="H8" s="33">
        <f>_xlfn.XLOOKUP(
    $B$6,
    CategoryDetailData[Category],
    CategoryDetailData[[Growth Contribution ]],
    ""
)</f>
        <v>6.6699999999999995E-2</v>
      </c>
      <c r="I8" s="46"/>
      <c r="J8" s="28" t="s">
        <v>151</v>
      </c>
      <c r="K8" s="34">
        <f>_xlfn.XLOOKUP(
    $B$6,
    CategoryDetailData[Category],
    CategoryDetailData[[Share Change pp ]],
    ""
)</f>
        <v>-0.28999999999999998</v>
      </c>
      <c r="L8" s="46"/>
      <c r="M8" s="28" t="s">
        <v>141</v>
      </c>
      <c r="N8" s="32">
        <f>_xlfn.XLOOKUP(
    $B$6,
    CategoryDetailData[Category],
    CategoryDetailData[Low Review Rate],
    ""
)</f>
        <v>0.16089999999999999</v>
      </c>
    </row>
    <row r="9" spans="1:18" x14ac:dyDescent="0.35"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8" x14ac:dyDescent="0.35">
      <c r="D10" s="25" t="s">
        <v>152</v>
      </c>
      <c r="E10" s="27">
        <f>COUNTA(CategoryDetailData[Category])</f>
        <v>74</v>
      </c>
      <c r="F10" s="49"/>
      <c r="G10" s="25" t="s">
        <v>153</v>
      </c>
      <c r="H10" s="27">
        <f>SUM(CategoryDetailData[Item Sales Value])</f>
        <v>13221498.110000001</v>
      </c>
      <c r="I10" s="49"/>
      <c r="J10" s="25" t="s">
        <v>154</v>
      </c>
      <c r="K10" s="26" cm="1">
        <f t="array" ref="K10">SUM(
    LARGE(
        CategoryDetailData[Sales Share],
        _xlfn.SEQUENCE(5)
    )
)</f>
        <v>0.39829999999999999</v>
      </c>
      <c r="L10" s="49"/>
      <c r="M10" s="49"/>
      <c r="N10" s="49"/>
    </row>
    <row r="11" spans="1:18" x14ac:dyDescent="0.35">
      <c r="K11" s="8"/>
      <c r="N11" s="8"/>
    </row>
    <row r="13" spans="1:18" ht="21" x14ac:dyDescent="0.35">
      <c r="A13" s="71" t="s">
        <v>160</v>
      </c>
      <c r="B13" s="71"/>
      <c r="C13" s="71"/>
      <c r="D13" s="71"/>
      <c r="E13" s="71"/>
      <c r="F13" s="71"/>
    </row>
    <row r="14" spans="1:18" x14ac:dyDescent="0.35">
      <c r="A14" s="36" t="s">
        <v>155</v>
      </c>
      <c r="B14" s="36" t="s">
        <v>129</v>
      </c>
      <c r="C14" s="36" t="s">
        <v>133</v>
      </c>
      <c r="D14" s="36" t="s">
        <v>134</v>
      </c>
      <c r="E14" s="36" t="s">
        <v>139</v>
      </c>
      <c r="F14" s="36" t="s">
        <v>140</v>
      </c>
      <c r="P14" s="53" t="s">
        <v>129</v>
      </c>
      <c r="Q14" s="53" t="s">
        <v>163</v>
      </c>
      <c r="R14" s="53" t="s">
        <v>164</v>
      </c>
    </row>
    <row r="15" spans="1:18" x14ac:dyDescent="0.35">
      <c r="A15" s="51" cm="1">
        <f t="array" ref="A15:A24">_xlfn.XMATCH(
    _xlfn.CHOOSECOLS(_xlfn.ANCHORARRAY(B15),1),
    _xlfn.SORTBY(
        CategoryDetailData[Category],
        CategoryDetailData[Item Sales Value],
        -1
    ),
    0
)</f>
        <v>2</v>
      </c>
      <c r="B15" s="2" t="str" cm="1">
        <f t="array" ref="B15:F24">_xlfn.LET(
    _xlpm.categories,CategoryDetailData[Category],
    _xlpm.sales,CategoryDetailData[Item Sales Value],
    _xlpm.share,CategoryDetailData[Sales Share],
    _xlpm.growth,CategoryDetailData[Sales Growth],
    _xlpm.reviews,CategoryDetailData[Avg Review Score],
    _xlpm.sorted,_xlfn.SORTBY(
        _xlfn.HSTACK(_xlpm.categories,_xlpm.sales,_xlpm.share,_xlpm.growth,_xlpm.reviews),
        _xlpm.sales,-1
    ),
    _xlpm.selected_position,
    _xlfn.XMATCH($B$6,_xlfn.CHOOSECOLS(_xlpm.sorted,1)),
    _xlpm.start_position,
    MAX(1,MIN(ROWS(_xlpm.sorted)-9,_xlpm.selected_position-3)),
    _xlfn.TAKE(
        _xlfn.DROP(_xlpm.sorted,_xlpm.start_position-1),
        10
    )
)</f>
        <v>Watches Gifts</v>
      </c>
      <c r="C15" s="9">
        <v>1166176.98</v>
      </c>
      <c r="D15" s="12">
        <v>8.8200000000000001E-2</v>
      </c>
      <c r="E15" s="14">
        <v>2.4198</v>
      </c>
      <c r="F15" s="23">
        <v>4.07</v>
      </c>
      <c r="P15" s="53" t="str">
        <f>B15</f>
        <v>Watches Gifts</v>
      </c>
      <c r="Q15" s="53">
        <f>IF($B15=$B$6,NA(),$C15)</f>
        <v>1166176.98</v>
      </c>
      <c r="R15" s="53" t="e">
        <f>IF($B15=$B$6,$C15,NA())</f>
        <v>#N/A</v>
      </c>
    </row>
    <row r="16" spans="1:18" x14ac:dyDescent="0.35">
      <c r="A16" s="51">
        <v>3</v>
      </c>
      <c r="B16" s="2" t="str">
        <v>Bed Bath Table</v>
      </c>
      <c r="C16" s="9">
        <v>1023434.76</v>
      </c>
      <c r="D16" s="12">
        <v>7.7399999999999997E-2</v>
      </c>
      <c r="E16" s="14">
        <v>1.0922000000000001</v>
      </c>
      <c r="F16" s="23">
        <v>3.97</v>
      </c>
      <c r="P16" s="53" t="str">
        <f t="shared" ref="P16:P24" si="0">B16</f>
        <v>Bed Bath Table</v>
      </c>
      <c r="Q16" s="53">
        <f t="shared" ref="Q16:Q24" si="1">IF($B16=$B$6,NA(),$C16)</f>
        <v>1023434.76</v>
      </c>
      <c r="R16" s="53" t="e">
        <f t="shared" ref="R16:R24" si="2">IF($B16=$B$6,$C16,NA())</f>
        <v>#N/A</v>
      </c>
    </row>
    <row r="17" spans="1:18" x14ac:dyDescent="0.35">
      <c r="A17" s="51">
        <v>4</v>
      </c>
      <c r="B17" s="2" t="str">
        <v>Sports Leisure</v>
      </c>
      <c r="C17" s="9">
        <v>954852.55</v>
      </c>
      <c r="D17" s="12">
        <v>7.22E-2</v>
      </c>
      <c r="E17" s="14">
        <v>1.3862999999999999</v>
      </c>
      <c r="F17" s="23">
        <v>4.17</v>
      </c>
      <c r="P17" s="53" t="str">
        <f t="shared" si="0"/>
        <v>Sports Leisure</v>
      </c>
      <c r="Q17" s="53">
        <f t="shared" si="1"/>
        <v>954852.55</v>
      </c>
      <c r="R17" s="53" t="e">
        <f t="shared" si="2"/>
        <v>#N/A</v>
      </c>
    </row>
    <row r="18" spans="1:18" x14ac:dyDescent="0.35">
      <c r="A18" s="51">
        <v>5</v>
      </c>
      <c r="B18" s="2" t="str">
        <v>Computers Accessories</v>
      </c>
      <c r="C18" s="9">
        <v>888724.61</v>
      </c>
      <c r="D18" s="12">
        <v>6.7199999999999996E-2</v>
      </c>
      <c r="E18" s="14">
        <v>1.3122</v>
      </c>
      <c r="F18" s="23">
        <v>4.03</v>
      </c>
      <c r="P18" s="53" t="str">
        <f>B18</f>
        <v>Computers Accessories</v>
      </c>
      <c r="Q18" s="53" t="e">
        <f t="shared" si="1"/>
        <v>#N/A</v>
      </c>
      <c r="R18" s="53">
        <f t="shared" si="2"/>
        <v>888724.61</v>
      </c>
    </row>
    <row r="19" spans="1:18" x14ac:dyDescent="0.35">
      <c r="A19" s="51">
        <v>6</v>
      </c>
      <c r="B19" s="2" t="str">
        <v>Furniture Decor</v>
      </c>
      <c r="C19" s="9">
        <v>711927.69</v>
      </c>
      <c r="D19" s="12">
        <v>5.3800000000000001E-2</v>
      </c>
      <c r="E19" s="14">
        <v>1.2337</v>
      </c>
      <c r="F19" s="23">
        <v>4.01</v>
      </c>
      <c r="P19" s="53" t="str">
        <f t="shared" si="0"/>
        <v>Furniture Decor</v>
      </c>
      <c r="Q19" s="53">
        <f t="shared" si="1"/>
        <v>711927.69</v>
      </c>
      <c r="R19" s="53" t="e">
        <f t="shared" si="2"/>
        <v>#N/A</v>
      </c>
    </row>
    <row r="20" spans="1:18" x14ac:dyDescent="0.35">
      <c r="A20" s="51">
        <v>7</v>
      </c>
      <c r="B20" s="2" t="str">
        <v>Housewares</v>
      </c>
      <c r="C20" s="9">
        <v>615628.68999999994</v>
      </c>
      <c r="D20" s="12">
        <v>4.6600000000000003E-2</v>
      </c>
      <c r="E20" s="14">
        <v>2.0722999999999998</v>
      </c>
      <c r="F20" s="23">
        <v>4.1399999999999997</v>
      </c>
      <c r="P20" s="53" t="str">
        <f t="shared" si="0"/>
        <v>Housewares</v>
      </c>
      <c r="Q20" s="53">
        <f t="shared" si="1"/>
        <v>615628.68999999994</v>
      </c>
      <c r="R20" s="53" t="e">
        <f t="shared" si="2"/>
        <v>#N/A</v>
      </c>
    </row>
    <row r="21" spans="1:18" x14ac:dyDescent="0.35">
      <c r="A21" s="51">
        <v>8</v>
      </c>
      <c r="B21" s="2" t="str">
        <v>Cool Stuff</v>
      </c>
      <c r="C21" s="9">
        <v>610204.1</v>
      </c>
      <c r="D21" s="12">
        <v>4.6199999999999998E-2</v>
      </c>
      <c r="E21" s="14">
        <v>0.10390000000000001</v>
      </c>
      <c r="F21" s="23">
        <v>4.17</v>
      </c>
      <c r="P21" s="53" t="str">
        <f t="shared" si="0"/>
        <v>Cool Stuff</v>
      </c>
      <c r="Q21" s="53">
        <f t="shared" si="1"/>
        <v>610204.1</v>
      </c>
      <c r="R21" s="53" t="e">
        <f t="shared" si="2"/>
        <v>#N/A</v>
      </c>
    </row>
    <row r="22" spans="1:18" x14ac:dyDescent="0.35">
      <c r="A22" s="51">
        <v>9</v>
      </c>
      <c r="B22" s="2" t="str">
        <v>Auto</v>
      </c>
      <c r="C22" s="9">
        <v>578966.65</v>
      </c>
      <c r="D22" s="12">
        <v>4.3799999999999999E-2</v>
      </c>
      <c r="E22" s="14">
        <v>1.7409000000000001</v>
      </c>
      <c r="F22" s="23">
        <v>4.09</v>
      </c>
      <c r="P22" s="53" t="str">
        <f t="shared" si="0"/>
        <v>Auto</v>
      </c>
      <c r="Q22" s="53">
        <f t="shared" si="1"/>
        <v>578966.65</v>
      </c>
      <c r="R22" s="53" t="e">
        <f t="shared" si="2"/>
        <v>#N/A</v>
      </c>
    </row>
    <row r="23" spans="1:18" x14ac:dyDescent="0.35">
      <c r="A23" s="51">
        <v>10</v>
      </c>
      <c r="B23" s="2" t="str">
        <v>Toys</v>
      </c>
      <c r="C23" s="9">
        <v>471286.48</v>
      </c>
      <c r="D23" s="12">
        <v>3.56E-2</v>
      </c>
      <c r="E23" s="14">
        <v>0.4194</v>
      </c>
      <c r="F23" s="23">
        <v>4.1900000000000004</v>
      </c>
      <c r="P23" s="53" t="str">
        <f t="shared" si="0"/>
        <v>Toys</v>
      </c>
      <c r="Q23" s="53">
        <f t="shared" si="1"/>
        <v>471286.48</v>
      </c>
      <c r="R23" s="53" t="e">
        <f t="shared" si="2"/>
        <v>#N/A</v>
      </c>
    </row>
    <row r="24" spans="1:18" x14ac:dyDescent="0.35">
      <c r="A24" s="51">
        <v>11</v>
      </c>
      <c r="B24" s="2" t="str">
        <v>Garden Tools</v>
      </c>
      <c r="C24" s="9">
        <v>470495.28</v>
      </c>
      <c r="D24" s="12">
        <v>3.56E-2</v>
      </c>
      <c r="E24" s="14">
        <v>0.53700000000000003</v>
      </c>
      <c r="F24" s="23">
        <v>4.1399999999999997</v>
      </c>
      <c r="P24" s="53" t="str">
        <f t="shared" si="0"/>
        <v>Garden Tools</v>
      </c>
      <c r="Q24" s="53">
        <f t="shared" si="1"/>
        <v>470495.28</v>
      </c>
      <c r="R24" s="53" t="e">
        <f t="shared" si="2"/>
        <v>#N/A</v>
      </c>
    </row>
    <row r="27" spans="1:18" ht="21" x14ac:dyDescent="0.5">
      <c r="A27" s="67" t="s">
        <v>161</v>
      </c>
      <c r="B27" s="67"/>
      <c r="C27" s="67"/>
      <c r="D27" s="67"/>
      <c r="E27" s="67"/>
      <c r="F27" s="67"/>
      <c r="H27" s="67" t="s">
        <v>156</v>
      </c>
      <c r="I27" s="67"/>
      <c r="J27" s="67"/>
      <c r="K27" s="67"/>
      <c r="L27" s="67"/>
      <c r="M27" s="67"/>
      <c r="N27" s="67"/>
    </row>
    <row r="28" spans="1:18" x14ac:dyDescent="0.35">
      <c r="A28" s="36" t="s">
        <v>155</v>
      </c>
      <c r="B28" s="36" t="s">
        <v>129</v>
      </c>
      <c r="C28" s="36" t="s">
        <v>138</v>
      </c>
      <c r="D28" s="36" t="s">
        <v>139</v>
      </c>
      <c r="E28" s="36" t="s">
        <v>151</v>
      </c>
      <c r="F28" s="36" t="s">
        <v>150</v>
      </c>
      <c r="H28" s="36" t="s">
        <v>157</v>
      </c>
      <c r="I28" s="36" t="s">
        <v>133</v>
      </c>
    </row>
    <row r="29" spans="1:18" x14ac:dyDescent="0.35">
      <c r="A29" s="22" cm="1">
        <f t="array" ref="A29:A38">_xlfn.XMATCH(
    _xlfn.CHOOSECOLS(_xlfn.ANCHORARRAY(B29),1),
    _xlfn.SORTBY(
        CategoryDetailData[Category],
        CategoryDetailData[Sales Value Change],
        -1
    ),
    0
)</f>
        <v>1</v>
      </c>
      <c r="B29" s="2" t="str" cm="1">
        <f t="array" ref="B29:F38">_xlfn.LET(
    _xlpm.categories,CategoryDetailData[Category],
    _xlpm.change,CategoryDetailData[Sales Value Change],
    _xlpm.growth,CategoryDetailData[Sales Growth],
    _xlpm.share_change,CategoryDetailData[[Share Change pp ]],
    _xlpm.contribution,CategoryDetailData[[Growth Contribution ]],
    _xlpm.sorted,_xlfn.SORTBY(
        _xlfn.HSTACK(
            _xlpm.categories,
            _xlpm.change,
            _xlpm.growth,
            _xlpm.share_change,
            _xlpm.contribution
        ),
        _xlpm.change,-1
    ),
    _xlpm.selected_position,
    _xlfn.XMATCH($B$6,_xlfn.CHOOSECOLS(_xlpm.sorted,1)),
    _xlpm.start_position,
    MAX(1,MIN(ROWS(_xlpm.sorted)-9,_xlpm.selected_position-3)),
    _xlfn.TAKE(
        _xlfn.DROP(_xlpm.sorted,_xlpm.start_position-1),
        10
    )
)</f>
        <v>Health Beauty</v>
      </c>
      <c r="C29" s="24">
        <v>512202.8</v>
      </c>
      <c r="D29" s="14">
        <v>2.1032999999999999</v>
      </c>
      <c r="E29" s="13">
        <v>2.33</v>
      </c>
      <c r="F29" s="14">
        <v>0.12119999999999999</v>
      </c>
      <c r="H29" s="22" t="s">
        <v>158</v>
      </c>
      <c r="I29" s="52">
        <f>_xlfn.XLOOKUP(
    $B$6,
    CategoryDetailData[Category],
    CategoryDetailData[2017 Sales Value],
    ""
)</f>
        <v>214631.27</v>
      </c>
    </row>
    <row r="30" spans="1:18" x14ac:dyDescent="0.35">
      <c r="A30" s="22">
        <v>2</v>
      </c>
      <c r="B30" s="2" t="str">
        <v>Watches Gifts</v>
      </c>
      <c r="C30" s="24">
        <v>486717.34</v>
      </c>
      <c r="D30" s="14">
        <v>2.4198</v>
      </c>
      <c r="E30" s="13">
        <v>2.81</v>
      </c>
      <c r="F30" s="14">
        <v>0.1152</v>
      </c>
      <c r="H30" s="22" t="s">
        <v>159</v>
      </c>
      <c r="I30" s="52">
        <f>_xlfn.XLOOKUP(
    $B$6,
    CategoryDetailData[Category],
    CategoryDetailData[2018 Sales Value],
    ""
)</f>
        <v>496269.3</v>
      </c>
    </row>
    <row r="31" spans="1:18" x14ac:dyDescent="0.35">
      <c r="A31" s="22">
        <v>3</v>
      </c>
      <c r="B31" s="2" t="str">
        <v>Sports Leisure</v>
      </c>
      <c r="C31" s="24">
        <v>300441.93</v>
      </c>
      <c r="D31" s="14">
        <v>1.3862999999999999</v>
      </c>
      <c r="E31" s="13">
        <v>-0.08</v>
      </c>
      <c r="F31" s="14">
        <v>7.1099999999999997E-2</v>
      </c>
    </row>
    <row r="32" spans="1:18" x14ac:dyDescent="0.35">
      <c r="A32" s="22">
        <v>4</v>
      </c>
      <c r="B32" s="2" t="str">
        <v>Computers Accessories</v>
      </c>
      <c r="C32" s="24">
        <v>281638.03000000003</v>
      </c>
      <c r="D32" s="14">
        <v>1.3122</v>
      </c>
      <c r="E32" s="13">
        <v>-0.28999999999999998</v>
      </c>
      <c r="F32" s="14">
        <v>6.6699999999999995E-2</v>
      </c>
    </row>
    <row r="33" spans="1:6" x14ac:dyDescent="0.35">
      <c r="A33" s="22">
        <v>5</v>
      </c>
      <c r="B33" s="2" t="str">
        <v>Bed Bath Table</v>
      </c>
      <c r="C33" s="24">
        <v>277914.03000000003</v>
      </c>
      <c r="D33" s="14">
        <v>1.0922000000000001</v>
      </c>
      <c r="E33" s="13">
        <v>-1.1200000000000001</v>
      </c>
      <c r="F33" s="14">
        <v>6.5799999999999997E-2</v>
      </c>
    </row>
    <row r="34" spans="1:6" x14ac:dyDescent="0.35">
      <c r="A34" s="22">
        <v>6</v>
      </c>
      <c r="B34" s="2" t="str">
        <v>Housewares</v>
      </c>
      <c r="C34" s="24">
        <v>264288.92</v>
      </c>
      <c r="D34" s="14">
        <v>2.0722999999999998</v>
      </c>
      <c r="E34" s="13">
        <v>1.17</v>
      </c>
      <c r="F34" s="14">
        <v>6.2600000000000003E-2</v>
      </c>
    </row>
    <row r="35" spans="1:6" x14ac:dyDescent="0.35">
      <c r="A35" s="22">
        <v>7</v>
      </c>
      <c r="B35" s="2" t="str">
        <v>Auto</v>
      </c>
      <c r="C35" s="24">
        <v>218040.82</v>
      </c>
      <c r="D35" s="14">
        <v>1.7409000000000001</v>
      </c>
      <c r="E35" s="13">
        <v>0.56999999999999995</v>
      </c>
      <c r="F35" s="14">
        <v>5.16E-2</v>
      </c>
    </row>
    <row r="36" spans="1:6" x14ac:dyDescent="0.35">
      <c r="A36" s="22">
        <v>8</v>
      </c>
      <c r="B36" s="2" t="str">
        <v>Furniture Decor</v>
      </c>
      <c r="C36" s="24">
        <v>210790.99</v>
      </c>
      <c r="D36" s="14">
        <v>1.2337</v>
      </c>
      <c r="E36" s="13">
        <v>-0.42</v>
      </c>
      <c r="F36" s="14">
        <v>4.99E-2</v>
      </c>
    </row>
    <row r="37" spans="1:6" x14ac:dyDescent="0.35">
      <c r="A37" s="22">
        <v>9</v>
      </c>
      <c r="B37" s="2" t="str">
        <v>Baby</v>
      </c>
      <c r="C37" s="24">
        <v>182617.53</v>
      </c>
      <c r="D37" s="14">
        <v>2.6856</v>
      </c>
      <c r="E37" s="13">
        <v>1.2</v>
      </c>
      <c r="F37" s="14">
        <v>4.3200000000000002E-2</v>
      </c>
    </row>
    <row r="38" spans="1:6" x14ac:dyDescent="0.35">
      <c r="A38" s="22">
        <v>10</v>
      </c>
      <c r="B38" s="2" t="str">
        <v>Construction Tools Construction</v>
      </c>
      <c r="C38" s="24">
        <v>120305.12</v>
      </c>
      <c r="D38" s="14">
        <v>46.603000000000002</v>
      </c>
      <c r="E38" s="13">
        <v>1.62</v>
      </c>
      <c r="F38" s="14">
        <v>2.8500000000000001E-2</v>
      </c>
    </row>
  </sheetData>
  <mergeCells count="6">
    <mergeCell ref="A27:F27"/>
    <mergeCell ref="H27:N27"/>
    <mergeCell ref="A1:N2"/>
    <mergeCell ref="A3:N3"/>
    <mergeCell ref="A5:N5"/>
    <mergeCell ref="A13:F13"/>
  </mergeCells>
  <conditionalFormatting sqref="A15:F24 A29:F38">
    <cfRule type="expression" dxfId="6" priority="2">
      <formula>$B15=$B$6</formula>
    </cfRule>
  </conditionalFormatting>
  <dataValidations count="1">
    <dataValidation type="list" allowBlank="1" showInputMessage="1" showErrorMessage="1" sqref="B6" xr:uid="{9C5C0588-BCEC-4BAE-AF0B-CE5A82DC6FEC}">
      <formula1>CategoryList</formula1>
    </dataValidation>
  </dataValidations>
  <pageMargins left="0.7" right="0.7" top="0.75" bottom="0.75" header="0.3" footer="0.3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F5AF-F5CF-4514-992A-C9D1E450077E}">
  <sheetPr>
    <tabColor rgb="FF779E3D"/>
  </sheetPr>
  <dimension ref="A1:R81"/>
  <sheetViews>
    <sheetView topLeftCell="D1" zoomScale="70" zoomScaleNormal="70" workbookViewId="0">
      <selection activeCell="K7" sqref="K7"/>
    </sheetView>
  </sheetViews>
  <sheetFormatPr defaultColWidth="12" defaultRowHeight="14.5" x14ac:dyDescent="0.35"/>
  <cols>
    <col min="1" max="1" width="42.36328125" style="2" bestFit="1" customWidth="1"/>
    <col min="2" max="4" width="27.1796875" style="8" customWidth="1"/>
    <col min="5" max="5" width="27.1796875" style="9" customWidth="1"/>
    <col min="6" max="6" width="27.1796875" style="10" customWidth="1"/>
    <col min="7" max="7" width="27.1796875" style="9" customWidth="1"/>
    <col min="8" max="8" width="27.1796875" style="11" customWidth="1"/>
    <col min="9" max="10" width="27.1796875" style="9" customWidth="1"/>
    <col min="11" max="11" width="27.1796875" style="14" customWidth="1"/>
    <col min="12" max="12" width="27.1796875" style="13" customWidth="1"/>
    <col min="13" max="13" width="27.1796875" style="14" customWidth="1"/>
    <col min="14" max="14" width="27.1796875" style="8" customWidth="1"/>
    <col min="15" max="15" width="27.1796875" style="9" customWidth="1"/>
    <col min="16" max="17" width="27.1796875" style="12" customWidth="1"/>
    <col min="18" max="18" width="2.7265625" style="2" hidden="1" customWidth="1"/>
    <col min="19" max="16384" width="12" style="2"/>
  </cols>
  <sheetData>
    <row r="1" spans="1:18" ht="14.5" customHeight="1" x14ac:dyDescent="0.35">
      <c r="A1" s="59" t="s">
        <v>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"/>
    </row>
    <row r="2" spans="1:18" ht="14.5" customHeight="1" x14ac:dyDescent="0.3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"/>
    </row>
    <row r="3" spans="1:18" customFormat="1" x14ac:dyDescent="0.35">
      <c r="R3" s="2"/>
    </row>
    <row r="4" spans="1:18" customFormat="1" x14ac:dyDescent="0.35">
      <c r="R4" s="2"/>
    </row>
    <row r="5" spans="1:18" x14ac:dyDescent="0.35">
      <c r="A5" s="36" t="s">
        <v>129</v>
      </c>
      <c r="B5" s="37" t="s">
        <v>130</v>
      </c>
      <c r="C5" s="38" t="s">
        <v>131</v>
      </c>
      <c r="D5" s="38" t="s">
        <v>132</v>
      </c>
      <c r="E5" s="39" t="s">
        <v>133</v>
      </c>
      <c r="F5" s="40" t="s">
        <v>134</v>
      </c>
      <c r="G5" s="39" t="s">
        <v>135</v>
      </c>
      <c r="H5" s="41" t="s">
        <v>136</v>
      </c>
      <c r="I5" s="39" t="s">
        <v>137</v>
      </c>
      <c r="J5" s="39" t="s">
        <v>138</v>
      </c>
      <c r="K5" s="42" t="s">
        <v>139</v>
      </c>
      <c r="L5" s="43" t="s">
        <v>145</v>
      </c>
      <c r="M5" s="42" t="s">
        <v>146</v>
      </c>
      <c r="N5" s="38" t="s">
        <v>147</v>
      </c>
      <c r="O5" s="39" t="s">
        <v>140</v>
      </c>
      <c r="P5" s="44" t="s">
        <v>141</v>
      </c>
      <c r="Q5" s="44" t="s">
        <v>142</v>
      </c>
      <c r="R5" s="7" t="s">
        <v>143</v>
      </c>
    </row>
    <row r="6" spans="1:18" x14ac:dyDescent="0.35">
      <c r="A6" s="2" t="str">
        <f>_xlfn.XLOOKUP(
    $R6,
    CategoryPerformanceData[category_name],
    CategoryPerformanceData[display_category],
    ""
)</f>
        <v>Health Beauty</v>
      </c>
      <c r="B6" s="15">
        <f>_xlfn.XLOOKUP(
    $R6,
    CategoryPerformanceData[category_name],
    CategoryPerformanceData[completed_orders],
    ""
)</f>
        <v>8647</v>
      </c>
      <c r="C6" s="15">
        <f>_xlfn.XLOOKUP(
    $R6,
    CategoryPerformanceData[category_name],
    CategoryPerformanceData[items_sold],
    ""
)</f>
        <v>9465</v>
      </c>
      <c r="D6" s="15">
        <f>_xlfn.XLOOKUP(
    $R6,
    CategoryPerformanceData[category_name],
    CategoryPerformanceData[products_sold],
    ""
)</f>
        <v>2397</v>
      </c>
      <c r="E6" s="16">
        <f>_xlfn.XLOOKUP(
    $R6,
    CategoryPerformanceData[category_name],
    CategoryPerformanceData[item_sales_value],
    ""
)</f>
        <v>1233131.72</v>
      </c>
      <c r="F6" s="17">
        <f>_xlfn.XLOOKUP(
    $R6,
    CategoryPerformanceData[category_name],
    CategoryPerformanceData[item_sales_value_share_pct],
    ""
)</f>
        <v>9.3299999999999994E-2</v>
      </c>
      <c r="G6" s="16">
        <f>_xlfn.XLOOKUP(
    $R6,
    CategoryPerformanceData[category_name],
    CategoryPerformanceData[avg_item_price],
    ""
)</f>
        <v>130.28</v>
      </c>
      <c r="H6" s="18">
        <f>_xlfn.XLOOKUP(
    $R6,
    CategoryGrowthData[category_name],
    CategoryGrowthData[item_sales_value_2017],
    ""
)</f>
        <v>243521.7</v>
      </c>
      <c r="I6" s="16">
        <f>_xlfn.XLOOKUP(
    $R6,
    CategoryGrowthData[category_name],
    CategoryGrowthData[item_sales_value_2018],
    ""
)</f>
        <v>755724.5</v>
      </c>
      <c r="J6" s="16">
        <f>_xlfn.XLOOKUP(
    $R6,
    CategoryGrowthData[category_name],
    CategoryGrowthData[item_sales_value_change],
    ""
)</f>
        <v>512202.8</v>
      </c>
      <c r="K6" s="19">
        <f>_xlfn.LET(
    _xlpm.cat, $R6,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2.1032999999999999</v>
      </c>
      <c r="L6" s="20">
        <f>_xlfn.XLOOKUP(
    $R6,
    CategoryGrowthData[category_name],
    CategoryGrowthData[marketplace_share_change_pp],
    ""
)</f>
        <v>2.33</v>
      </c>
      <c r="M6" s="19">
        <f>_xlfn.XLOOKUP(
    $R6,
    CategoryGrowthData[category_name],
    CategoryGrowthData[contribution_to_sales_growth_pct],
    ""
)</f>
        <v>0.12119999999999999</v>
      </c>
      <c r="N6" s="15">
        <f>_xlfn.XLOOKUP(
    $R6,
    CategoryReviewData[category_name],
    CategoryReviewData[reviewed_orders],
    ""
)</f>
        <v>8771</v>
      </c>
      <c r="O6" s="16">
        <f>_xlfn.XLOOKUP(
    $R6,
    CategoryReviewData[category_name],
    CategoryReviewData[avg_review_score],
    ""
)</f>
        <v>4.18</v>
      </c>
      <c r="P6" s="21">
        <f>_xlfn.XLOOKUP(
    $R6,
    CategoryReviewData[category_name],
    CategoryReviewData[low_review_rate_pct],
    ""
)</f>
        <v>0.127</v>
      </c>
      <c r="Q6" s="21">
        <f>_xlfn.XLOOKUP(
    $R6,
    CategoryReviewData[category_name],
    CategoryReviewData[high_review_rate_pct],
    ""
)</f>
        <v>0.79510000000000003</v>
      </c>
      <c r="R6" s="1" t="s">
        <v>37</v>
      </c>
    </row>
    <row r="7" spans="1:18" x14ac:dyDescent="0.35">
      <c r="A7" s="2" t="str">
        <f>_xlfn.XLOOKUP(
    $R7,
    CategoryPerformanceData[category_name],
    CategoryPerformanceData[display_category],
    ""
)</f>
        <v>Watches Gifts</v>
      </c>
      <c r="B7" s="15">
        <f>_xlfn.XLOOKUP(
    $R7,
    CategoryPerformanceData[category_name],
    CategoryPerformanceData[completed_orders],
    ""
)</f>
        <v>5495</v>
      </c>
      <c r="C7" s="15">
        <f>_xlfn.XLOOKUP(
    $R7,
    CategoryPerformanceData[category_name],
    CategoryPerformanceData[items_sold],
    ""
)</f>
        <v>5859</v>
      </c>
      <c r="D7" s="15">
        <f>_xlfn.XLOOKUP(
    $R7,
    CategoryPerformanceData[category_name],
    CategoryPerformanceData[products_sold],
    ""
)</f>
        <v>1300</v>
      </c>
      <c r="E7" s="16">
        <f>_xlfn.XLOOKUP(
    $R7,
    CategoryPerformanceData[category_name],
    CategoryPerformanceData[item_sales_value],
    ""
)</f>
        <v>1166176.98</v>
      </c>
      <c r="F7" s="17">
        <f>_xlfn.XLOOKUP(
    $R7,
    CategoryPerformanceData[category_name],
    CategoryPerformanceData[item_sales_value_share_pct],
    ""
)</f>
        <v>8.8200000000000001E-2</v>
      </c>
      <c r="G7" s="16">
        <f>_xlfn.XLOOKUP(
    $R7,
    CategoryPerformanceData[category_name],
    CategoryPerformanceData[avg_item_price],
    ""
)</f>
        <v>199.04</v>
      </c>
      <c r="H7" s="18">
        <f>_xlfn.XLOOKUP(
    $R7,
    CategoryGrowthData[category_name],
    CategoryGrowthData[item_sales_value_2017],
    ""
)</f>
        <v>201137.86</v>
      </c>
      <c r="I7" s="16">
        <f>_xlfn.XLOOKUP(
    $R7,
    CategoryGrowthData[category_name],
    CategoryGrowthData[item_sales_value_2018],
    ""
)</f>
        <v>687855.2</v>
      </c>
      <c r="J7" s="16">
        <f>_xlfn.XLOOKUP(
    $R7,
    CategoryGrowthData[category_name],
    CategoryGrowthData[item_sales_value_change],
    ""
)</f>
        <v>486717.34</v>
      </c>
      <c r="K7" s="19">
        <f>_xlfn.LET(
    _xlpm.cat, $R7,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2.4198</v>
      </c>
      <c r="L7" s="20">
        <f>_xlfn.XLOOKUP(
    $R7,
    CategoryGrowthData[category_name],
    CategoryGrowthData[marketplace_share_change_pp],
    ""
)</f>
        <v>2.81</v>
      </c>
      <c r="M7" s="19">
        <f>_xlfn.XLOOKUP(
    $R7,
    CategoryGrowthData[category_name],
    CategoryGrowthData[contribution_to_sales_growth_pct],
    ""
)</f>
        <v>0.1152</v>
      </c>
      <c r="N7" s="15">
        <f>_xlfn.XLOOKUP(
    $R7,
    CategoryReviewData[category_name],
    CategoryReviewData[reviewed_orders],
    ""
)</f>
        <v>5576</v>
      </c>
      <c r="O7" s="16">
        <f>_xlfn.XLOOKUP(
    $R7,
    CategoryReviewData[category_name],
    CategoryReviewData[avg_review_score],
    ""
)</f>
        <v>4.07</v>
      </c>
      <c r="P7" s="21">
        <f>_xlfn.XLOOKUP(
    $R7,
    CategoryReviewData[category_name],
    CategoryReviewData[low_review_rate_pct],
    ""
)</f>
        <v>0.15210000000000001</v>
      </c>
      <c r="Q7" s="21">
        <f>_xlfn.XLOOKUP(
    $R7,
    CategoryReviewData[category_name],
    CategoryReviewData[high_review_rate_pct],
    ""
)</f>
        <v>0.76200000000000001</v>
      </c>
      <c r="R7" s="1" t="s">
        <v>38</v>
      </c>
    </row>
    <row r="8" spans="1:18" x14ac:dyDescent="0.35">
      <c r="A8" s="2" t="str">
        <f>_xlfn.XLOOKUP(
    $R8,
    CategoryPerformanceData[category_name],
    CategoryPerformanceData[display_category],
    ""
)</f>
        <v>Bed Bath Table</v>
      </c>
      <c r="B8" s="15">
        <f>_xlfn.XLOOKUP(
    $R8,
    CategoryPerformanceData[category_name],
    CategoryPerformanceData[completed_orders],
    ""
)</f>
        <v>9272</v>
      </c>
      <c r="C8" s="15">
        <f>_xlfn.XLOOKUP(
    $R8,
    CategoryPerformanceData[category_name],
    CategoryPerformanceData[items_sold],
    ""
)</f>
        <v>10953</v>
      </c>
      <c r="D8" s="15">
        <f>_xlfn.XLOOKUP(
    $R8,
    CategoryPerformanceData[category_name],
    CategoryPerformanceData[products_sold],
    ""
)</f>
        <v>2991</v>
      </c>
      <c r="E8" s="16">
        <f>_xlfn.XLOOKUP(
    $R8,
    CategoryPerformanceData[category_name],
    CategoryPerformanceData[item_sales_value],
    ""
)</f>
        <v>1023434.76</v>
      </c>
      <c r="F8" s="17">
        <f>_xlfn.XLOOKUP(
    $R8,
    CategoryPerformanceData[category_name],
    CategoryPerformanceData[item_sales_value_share_pct],
    ""
)</f>
        <v>7.7399999999999997E-2</v>
      </c>
      <c r="G8" s="16">
        <f>_xlfn.XLOOKUP(
    $R8,
    CategoryPerformanceData[category_name],
    CategoryPerformanceData[avg_item_price],
    ""
)</f>
        <v>93.44</v>
      </c>
      <c r="H8" s="18">
        <f>_xlfn.XLOOKUP(
    $R8,
    CategoryGrowthData[category_name],
    CategoryGrowthData[item_sales_value_2017],
    ""
)</f>
        <v>254444.82</v>
      </c>
      <c r="I8" s="16">
        <f>_xlfn.XLOOKUP(
    $R8,
    CategoryGrowthData[category_name],
    CategoryGrowthData[item_sales_value_2018],
    ""
)</f>
        <v>532358.85</v>
      </c>
      <c r="J8" s="16">
        <f>_xlfn.XLOOKUP(
    $R8,
    CategoryGrowthData[category_name],
    CategoryGrowthData[item_sales_value_change],
    ""
)</f>
        <v>277914.03000000003</v>
      </c>
      <c r="K8" s="19">
        <f>_xlfn.LET(
    _xlpm.cat, $R8,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1.0922000000000001</v>
      </c>
      <c r="L8" s="20">
        <f>_xlfn.XLOOKUP(
    $R8,
    CategoryGrowthData[category_name],
    CategoryGrowthData[marketplace_share_change_pp],
    ""
)</f>
        <v>-1.1200000000000001</v>
      </c>
      <c r="M8" s="19">
        <f>_xlfn.XLOOKUP(
    $R8,
    CategoryGrowthData[category_name],
    CategoryGrowthData[contribution_to_sales_growth_pct],
    ""
)</f>
        <v>6.5799999999999997E-2</v>
      </c>
      <c r="N8" s="15">
        <f>_xlfn.XLOOKUP(
    $R8,
    CategoryReviewData[category_name],
    CategoryReviewData[reviewed_orders],
    ""
)</f>
        <v>9313</v>
      </c>
      <c r="O8" s="16">
        <f>_xlfn.XLOOKUP(
    $R8,
    CategoryReviewData[category_name],
    CategoryReviewData[avg_review_score],
    ""
)</f>
        <v>3.97</v>
      </c>
      <c r="P8" s="21">
        <f>_xlfn.XLOOKUP(
    $R8,
    CategoryReviewData[category_name],
    CategoryReviewData[low_review_rate_pct],
    ""
)</f>
        <v>0.16760000000000003</v>
      </c>
      <c r="Q8" s="21">
        <f>_xlfn.XLOOKUP(
    $R8,
    CategoryReviewData[category_name],
    CategoryReviewData[high_review_rate_pct],
    ""
)</f>
        <v>0.73180000000000012</v>
      </c>
      <c r="R8" s="1" t="s">
        <v>39</v>
      </c>
    </row>
    <row r="9" spans="1:18" x14ac:dyDescent="0.35">
      <c r="A9" s="2" t="str">
        <f>_xlfn.XLOOKUP(
    $R9,
    CategoryPerformanceData[category_name],
    CategoryPerformanceData[display_category],
    ""
)</f>
        <v>Sports Leisure</v>
      </c>
      <c r="B9" s="15">
        <f>_xlfn.XLOOKUP(
    $R9,
    CategoryPerformanceData[category_name],
    CategoryPerformanceData[completed_orders],
    ""
)</f>
        <v>7530</v>
      </c>
      <c r="C9" s="15">
        <f>_xlfn.XLOOKUP(
    $R9,
    CategoryPerformanceData[category_name],
    CategoryPerformanceData[items_sold],
    ""
)</f>
        <v>8431</v>
      </c>
      <c r="D9" s="15">
        <f>_xlfn.XLOOKUP(
    $R9,
    CategoryPerformanceData[category_name],
    CategoryPerformanceData[products_sold],
    ""
)</f>
        <v>2822</v>
      </c>
      <c r="E9" s="16">
        <f>_xlfn.XLOOKUP(
    $R9,
    CategoryPerformanceData[category_name],
    CategoryPerformanceData[item_sales_value],
    ""
)</f>
        <v>954852.55</v>
      </c>
      <c r="F9" s="17">
        <f>_xlfn.XLOOKUP(
    $R9,
    CategoryPerformanceData[category_name],
    CategoryPerformanceData[item_sales_value_share_pct],
    ""
)</f>
        <v>7.22E-2</v>
      </c>
      <c r="G9" s="16">
        <f>_xlfn.XLOOKUP(
    $R9,
    CategoryPerformanceData[category_name],
    CategoryPerformanceData[avg_item_price],
    ""
)</f>
        <v>113.25</v>
      </c>
      <c r="H9" s="18">
        <f>_xlfn.XLOOKUP(
    $R9,
    CategoryGrowthData[category_name],
    CategoryGrowthData[item_sales_value_2017],
    ""
)</f>
        <v>216724.33</v>
      </c>
      <c r="I9" s="16">
        <f>_xlfn.XLOOKUP(
    $R9,
    CategoryGrowthData[category_name],
    CategoryGrowthData[item_sales_value_2018],
    ""
)</f>
        <v>517166.26</v>
      </c>
      <c r="J9" s="16">
        <f>_xlfn.XLOOKUP(
    $R9,
    CategoryGrowthData[category_name],
    CategoryGrowthData[item_sales_value_change],
    ""
)</f>
        <v>300441.93</v>
      </c>
      <c r="K9" s="19">
        <f>_xlfn.LET(
    _xlpm.cat, $R9,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1.3862999999999999</v>
      </c>
      <c r="L9" s="20">
        <f>_xlfn.XLOOKUP(
    $R9,
    CategoryGrowthData[category_name],
    CategoryGrowthData[marketplace_share_change_pp],
    ""
)</f>
        <v>-0.08</v>
      </c>
      <c r="M9" s="19">
        <f>_xlfn.XLOOKUP(
    $R9,
    CategoryGrowthData[category_name],
    CategoryGrowthData[contribution_to_sales_growth_pct],
    ""
)</f>
        <v>7.1099999999999997E-2</v>
      </c>
      <c r="N9" s="15">
        <f>_xlfn.XLOOKUP(
    $R9,
    CategoryReviewData[category_name],
    CategoryReviewData[reviewed_orders],
    ""
)</f>
        <v>7669</v>
      </c>
      <c r="O9" s="16">
        <f>_xlfn.XLOOKUP(
    $R9,
    CategoryReviewData[category_name],
    CategoryReviewData[avg_review_score],
    ""
)</f>
        <v>4.17</v>
      </c>
      <c r="P9" s="21">
        <f>_xlfn.XLOOKUP(
    $R9,
    CategoryReviewData[category_name],
    CategoryReviewData[low_review_rate_pct],
    ""
)</f>
        <v>0.13009999999999999</v>
      </c>
      <c r="Q9" s="21">
        <f>_xlfn.XLOOKUP(
    $R9,
    CategoryReviewData[category_name],
    CategoryReviewData[high_review_rate_pct],
    ""
)</f>
        <v>0.7974</v>
      </c>
      <c r="R9" s="1" t="s">
        <v>40</v>
      </c>
    </row>
    <row r="10" spans="1:18" x14ac:dyDescent="0.35">
      <c r="A10" s="2" t="str">
        <f>_xlfn.XLOOKUP(
    $R10,
    CategoryPerformanceData[category_name],
    CategoryPerformanceData[display_category],
    ""
)</f>
        <v>Computers Accessories</v>
      </c>
      <c r="B10" s="15">
        <f>_xlfn.XLOOKUP(
    $R10,
    CategoryPerformanceData[category_name],
    CategoryPerformanceData[completed_orders],
    ""
)</f>
        <v>6530</v>
      </c>
      <c r="C10" s="15">
        <f>_xlfn.XLOOKUP(
    $R10,
    CategoryPerformanceData[category_name],
    CategoryPerformanceData[items_sold],
    ""
)</f>
        <v>7644</v>
      </c>
      <c r="D10" s="15">
        <f>_xlfn.XLOOKUP(
    $R10,
    CategoryPerformanceData[category_name],
    CategoryPerformanceData[products_sold],
    ""
)</f>
        <v>1600</v>
      </c>
      <c r="E10" s="16">
        <f>_xlfn.XLOOKUP(
    $R10,
    CategoryPerformanceData[category_name],
    CategoryPerformanceData[item_sales_value],
    ""
)</f>
        <v>888724.61</v>
      </c>
      <c r="F10" s="17">
        <f>_xlfn.XLOOKUP(
    $R10,
    CategoryPerformanceData[category_name],
    CategoryPerformanceData[item_sales_value_share_pct],
    ""
)</f>
        <v>6.7199999999999996E-2</v>
      </c>
      <c r="G10" s="16">
        <f>_xlfn.XLOOKUP(
    $R10,
    CategoryPerformanceData[category_name],
    CategoryPerformanceData[avg_item_price],
    ""
)</f>
        <v>116.26</v>
      </c>
      <c r="H10" s="18">
        <f>_xlfn.XLOOKUP(
    $R10,
    CategoryGrowthData[category_name],
    CategoryGrowthData[item_sales_value_2017],
    ""
)</f>
        <v>214631.27</v>
      </c>
      <c r="I10" s="16">
        <f>_xlfn.XLOOKUP(
    $R10,
    CategoryGrowthData[category_name],
    CategoryGrowthData[item_sales_value_2018],
    ""
)</f>
        <v>496269.3</v>
      </c>
      <c r="J10" s="16">
        <f>_xlfn.XLOOKUP(
    $R10,
    CategoryGrowthData[category_name],
    CategoryGrowthData[item_sales_value_change],
    ""
)</f>
        <v>281638.03000000003</v>
      </c>
      <c r="K10" s="19">
        <f>_xlfn.LET(
    _xlpm.cat, $R10,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1.3122</v>
      </c>
      <c r="L10" s="20">
        <f>_xlfn.XLOOKUP(
    $R10,
    CategoryGrowthData[category_name],
    CategoryGrowthData[marketplace_share_change_pp],
    ""
)</f>
        <v>-0.28999999999999998</v>
      </c>
      <c r="M10" s="19">
        <f>_xlfn.XLOOKUP(
    $R10,
    CategoryGrowthData[category_name],
    CategoryGrowthData[contribution_to_sales_growth_pct],
    ""
)</f>
        <v>6.6699999999999995E-2</v>
      </c>
      <c r="N10" s="15">
        <f>_xlfn.XLOOKUP(
    $R10,
    CategoryReviewData[category_name],
    CategoryReviewData[reviewed_orders],
    ""
)</f>
        <v>6649</v>
      </c>
      <c r="O10" s="16">
        <f>_xlfn.XLOOKUP(
    $R10,
    CategoryReviewData[category_name],
    CategoryReviewData[avg_review_score],
    ""
)</f>
        <v>4.03</v>
      </c>
      <c r="P10" s="21">
        <f>_xlfn.XLOOKUP(
    $R10,
    CategoryReviewData[category_name],
    CategoryReviewData[low_review_rate_pct],
    ""
)</f>
        <v>0.16089999999999999</v>
      </c>
      <c r="Q10" s="21">
        <f>_xlfn.XLOOKUP(
    $R10,
    CategoryReviewData[category_name],
    CategoryReviewData[high_review_rate_pct],
    ""
)</f>
        <v>0.75769999999999993</v>
      </c>
      <c r="R10" s="1" t="s">
        <v>41</v>
      </c>
    </row>
    <row r="11" spans="1:18" x14ac:dyDescent="0.35">
      <c r="A11" s="2" t="str">
        <f>_xlfn.XLOOKUP(
    $R11,
    CategoryPerformanceData[category_name],
    CategoryPerformanceData[display_category],
    ""
)</f>
        <v>Furniture Decor</v>
      </c>
      <c r="B11" s="15">
        <f>_xlfn.XLOOKUP(
    $R11,
    CategoryPerformanceData[category_name],
    CategoryPerformanceData[completed_orders],
    ""
)</f>
        <v>6307</v>
      </c>
      <c r="C11" s="15">
        <f>_xlfn.XLOOKUP(
    $R11,
    CategoryPerformanceData[category_name],
    CategoryPerformanceData[items_sold],
    ""
)</f>
        <v>8160</v>
      </c>
      <c r="D11" s="15">
        <f>_xlfn.XLOOKUP(
    $R11,
    CategoryPerformanceData[category_name],
    CategoryPerformanceData[products_sold],
    ""
)</f>
        <v>2593</v>
      </c>
      <c r="E11" s="16">
        <f>_xlfn.XLOOKUP(
    $R11,
    CategoryPerformanceData[category_name],
    CategoryPerformanceData[item_sales_value],
    ""
)</f>
        <v>711927.69</v>
      </c>
      <c r="F11" s="17">
        <f>_xlfn.XLOOKUP(
    $R11,
    CategoryPerformanceData[category_name],
    CategoryPerformanceData[item_sales_value_share_pct],
    ""
)</f>
        <v>5.3800000000000001E-2</v>
      </c>
      <c r="G11" s="16">
        <f>_xlfn.XLOOKUP(
    $R11,
    CategoryPerformanceData[category_name],
    CategoryPerformanceData[avg_item_price],
    ""
)</f>
        <v>87.25</v>
      </c>
      <c r="H11" s="18">
        <f>_xlfn.XLOOKUP(
    $R11,
    CategoryGrowthData[category_name],
    CategoryGrowthData[item_sales_value_2017],
    ""
)</f>
        <v>170858.58</v>
      </c>
      <c r="I11" s="16">
        <f>_xlfn.XLOOKUP(
    $R11,
    CategoryGrowthData[category_name],
    CategoryGrowthData[item_sales_value_2018],
    ""
)</f>
        <v>381649.57</v>
      </c>
      <c r="J11" s="16">
        <f>_xlfn.XLOOKUP(
    $R11,
    CategoryGrowthData[category_name],
    CategoryGrowthData[item_sales_value_change],
    ""
)</f>
        <v>210790.99</v>
      </c>
      <c r="K11" s="19">
        <f>_xlfn.LET(
    _xlpm.cat, $R11,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1.2337</v>
      </c>
      <c r="L11" s="20">
        <f>_xlfn.XLOOKUP(
    $R11,
    CategoryGrowthData[category_name],
    CategoryGrowthData[marketplace_share_change_pp],
    ""
)</f>
        <v>-0.42</v>
      </c>
      <c r="M11" s="19">
        <f>_xlfn.XLOOKUP(
    $R11,
    CategoryGrowthData[category_name],
    CategoryGrowthData[contribution_to_sales_growth_pct],
    ""
)</f>
        <v>4.99E-2</v>
      </c>
      <c r="N11" s="15">
        <f>_xlfn.XLOOKUP(
    $R11,
    CategoryReviewData[category_name],
    CategoryReviewData[reviewed_orders],
    ""
)</f>
        <v>6398</v>
      </c>
      <c r="O11" s="16">
        <f>_xlfn.XLOOKUP(
    $R11,
    CategoryReviewData[category_name],
    CategoryReviewData[avg_review_score],
    ""
)</f>
        <v>4.01</v>
      </c>
      <c r="P11" s="21">
        <f>_xlfn.XLOOKUP(
    $R11,
    CategoryReviewData[category_name],
    CategoryReviewData[low_review_rate_pct],
    ""
)</f>
        <v>0.1668</v>
      </c>
      <c r="Q11" s="21">
        <f>_xlfn.XLOOKUP(
    $R11,
    CategoryReviewData[category_name],
    CategoryReviewData[high_review_rate_pct],
    ""
)</f>
        <v>0.7451000000000001</v>
      </c>
      <c r="R11" s="1" t="s">
        <v>42</v>
      </c>
    </row>
    <row r="12" spans="1:18" x14ac:dyDescent="0.35">
      <c r="A12" s="2" t="str">
        <f>_xlfn.XLOOKUP(
    $R12,
    CategoryPerformanceData[category_name],
    CategoryPerformanceData[display_category],
    ""
)</f>
        <v>Housewares</v>
      </c>
      <c r="B12" s="15">
        <f>_xlfn.XLOOKUP(
    $R12,
    CategoryPerformanceData[category_name],
    CategoryPerformanceData[completed_orders],
    ""
)</f>
        <v>5743</v>
      </c>
      <c r="C12" s="15">
        <f>_xlfn.XLOOKUP(
    $R12,
    CategoryPerformanceData[category_name],
    CategoryPerformanceData[items_sold],
    ""
)</f>
        <v>6795</v>
      </c>
      <c r="D12" s="15">
        <f>_xlfn.XLOOKUP(
    $R12,
    CategoryPerformanceData[category_name],
    CategoryPerformanceData[products_sold],
    ""
)</f>
        <v>2282</v>
      </c>
      <c r="E12" s="16">
        <f>_xlfn.XLOOKUP(
    $R12,
    CategoryPerformanceData[category_name],
    CategoryPerformanceData[item_sales_value],
    ""
)</f>
        <v>615628.68999999994</v>
      </c>
      <c r="F12" s="17">
        <f>_xlfn.XLOOKUP(
    $R12,
    CategoryPerformanceData[category_name],
    CategoryPerformanceData[item_sales_value_share_pct],
    ""
)</f>
        <v>4.6600000000000003E-2</v>
      </c>
      <c r="G12" s="16">
        <f>_xlfn.XLOOKUP(
    $R12,
    CategoryPerformanceData[category_name],
    CategoryPerformanceData[avg_item_price],
    ""
)</f>
        <v>90.6</v>
      </c>
      <c r="H12" s="18">
        <f>_xlfn.XLOOKUP(
    $R12,
    CategoryGrowthData[category_name],
    CategoryGrowthData[item_sales_value_2017],
    ""
)</f>
        <v>127534.54</v>
      </c>
      <c r="I12" s="16">
        <f>_xlfn.XLOOKUP(
    $R12,
    CategoryGrowthData[category_name],
    CategoryGrowthData[item_sales_value_2018],
    ""
)</f>
        <v>391823.46</v>
      </c>
      <c r="J12" s="16">
        <f>_xlfn.XLOOKUP(
    $R12,
    CategoryGrowthData[category_name],
    CategoryGrowthData[item_sales_value_change],
    ""
)</f>
        <v>264288.92</v>
      </c>
      <c r="K12" s="19">
        <f>_xlfn.LET(
    _xlpm.cat, $R12,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2.0722999999999998</v>
      </c>
      <c r="L12" s="20">
        <f>_xlfn.XLOOKUP(
    $R12,
    CategoryGrowthData[category_name],
    CategoryGrowthData[marketplace_share_change_pp],
    ""
)</f>
        <v>1.17</v>
      </c>
      <c r="M12" s="19">
        <f>_xlfn.XLOOKUP(
    $R12,
    CategoryGrowthData[category_name],
    CategoryGrowthData[contribution_to_sales_growth_pct],
    ""
)</f>
        <v>6.2600000000000003E-2</v>
      </c>
      <c r="N12" s="15">
        <f>_xlfn.XLOOKUP(
    $R12,
    CategoryReviewData[category_name],
    CategoryReviewData[reviewed_orders],
    ""
)</f>
        <v>5843</v>
      </c>
      <c r="O12" s="16">
        <f>_xlfn.XLOOKUP(
    $R12,
    CategoryReviewData[category_name],
    CategoryReviewData[avg_review_score],
    ""
)</f>
        <v>4.1399999999999997</v>
      </c>
      <c r="P12" s="21">
        <f>_xlfn.XLOOKUP(
    $R12,
    CategoryReviewData[category_name],
    CategoryReviewData[low_review_rate_pct],
    ""
)</f>
        <v>0.1321</v>
      </c>
      <c r="Q12" s="21">
        <f>_xlfn.XLOOKUP(
    $R12,
    CategoryReviewData[category_name],
    CategoryReviewData[high_review_rate_pct],
    ""
)</f>
        <v>0.78249999999999997</v>
      </c>
      <c r="R12" s="1" t="s">
        <v>43</v>
      </c>
    </row>
    <row r="13" spans="1:18" x14ac:dyDescent="0.35">
      <c r="A13" s="2" t="str">
        <f>_xlfn.XLOOKUP(
    $R13,
    CategoryPerformanceData[category_name],
    CategoryPerformanceData[display_category],
    ""
)</f>
        <v>Cool Stuff</v>
      </c>
      <c r="B13" s="15">
        <f>_xlfn.XLOOKUP(
    $R13,
    CategoryPerformanceData[category_name],
    CategoryPerformanceData[completed_orders],
    ""
)</f>
        <v>3559</v>
      </c>
      <c r="C13" s="15">
        <f>_xlfn.XLOOKUP(
    $R13,
    CategoryPerformanceData[category_name],
    CategoryPerformanceData[items_sold],
    ""
)</f>
        <v>3718</v>
      </c>
      <c r="D13" s="15">
        <f>_xlfn.XLOOKUP(
    $R13,
    CategoryPerformanceData[category_name],
    CategoryPerformanceData[products_sold],
    ""
)</f>
        <v>770</v>
      </c>
      <c r="E13" s="16">
        <f>_xlfn.XLOOKUP(
    $R13,
    CategoryPerformanceData[category_name],
    CategoryPerformanceData[item_sales_value],
    ""
)</f>
        <v>610204.1</v>
      </c>
      <c r="F13" s="17">
        <f>_xlfn.XLOOKUP(
    $R13,
    CategoryPerformanceData[category_name],
    CategoryPerformanceData[item_sales_value_share_pct],
    ""
)</f>
        <v>4.6199999999999998E-2</v>
      </c>
      <c r="G13" s="16">
        <f>_xlfn.XLOOKUP(
    $R13,
    CategoryPerformanceData[category_name],
    CategoryPerformanceData[avg_item_price],
    ""
)</f>
        <v>164.12</v>
      </c>
      <c r="H13" s="18">
        <f>_xlfn.XLOOKUP(
    $R13,
    CategoryGrowthData[category_name],
    CategoryGrowthData[item_sales_value_2017],
    ""
)</f>
        <v>206306.37</v>
      </c>
      <c r="I13" s="16">
        <f>_xlfn.XLOOKUP(
    $R13,
    CategoryGrowthData[category_name],
    CategoryGrowthData[item_sales_value_2018],
    ""
)</f>
        <v>227743.7</v>
      </c>
      <c r="J13" s="16">
        <f>_xlfn.XLOOKUP(
    $R13,
    CategoryGrowthData[category_name],
    CategoryGrowthData[item_sales_value_change],
    ""
)</f>
        <v>21437.33</v>
      </c>
      <c r="K13" s="19">
        <f>_xlfn.LET(
    _xlpm.cat, $R13,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0.10390000000000001</v>
      </c>
      <c r="L13" s="20">
        <f>_xlfn.XLOOKUP(
    $R13,
    CategoryGrowthData[category_name],
    CategoryGrowthData[marketplace_share_change_pp],
    ""
)</f>
        <v>-3.74</v>
      </c>
      <c r="M13" s="19">
        <f>_xlfn.XLOOKUP(
    $R13,
    CategoryGrowthData[category_name],
    CategoryGrowthData[contribution_to_sales_growth_pct],
    ""
)</f>
        <v>5.1000000000000004E-3</v>
      </c>
      <c r="N13" s="15">
        <f>_xlfn.XLOOKUP(
    $R13,
    CategoryReviewData[category_name],
    CategoryReviewData[reviewed_orders],
    ""
)</f>
        <v>3599</v>
      </c>
      <c r="O13" s="16">
        <f>_xlfn.XLOOKUP(
    $R13,
    CategoryReviewData[category_name],
    CategoryReviewData[avg_review_score],
    ""
)</f>
        <v>4.17</v>
      </c>
      <c r="P13" s="21">
        <f>_xlfn.XLOOKUP(
    $R13,
    CategoryReviewData[category_name],
    CategoryReviewData[low_review_rate_pct],
    ""
)</f>
        <v>0.125</v>
      </c>
      <c r="Q13" s="21">
        <f>_xlfn.XLOOKUP(
    $R13,
    CategoryReviewData[category_name],
    CategoryReviewData[high_review_rate_pct],
    ""
)</f>
        <v>0.79469999999999996</v>
      </c>
      <c r="R13" s="1" t="s">
        <v>44</v>
      </c>
    </row>
    <row r="14" spans="1:18" x14ac:dyDescent="0.35">
      <c r="A14" s="2" t="str">
        <f>_xlfn.XLOOKUP(
    $R14,
    CategoryPerformanceData[category_name],
    CategoryPerformanceData[display_category],
    ""
)</f>
        <v>Auto</v>
      </c>
      <c r="B14" s="15">
        <f>_xlfn.XLOOKUP(
    $R14,
    CategoryPerformanceData[category_name],
    CategoryPerformanceData[completed_orders],
    ""
)</f>
        <v>3810</v>
      </c>
      <c r="C14" s="15">
        <f>_xlfn.XLOOKUP(
    $R14,
    CategoryPerformanceData[category_name],
    CategoryPerformanceData[items_sold],
    ""
)</f>
        <v>4140</v>
      </c>
      <c r="D14" s="15">
        <f>_xlfn.XLOOKUP(
    $R14,
    CategoryPerformanceData[category_name],
    CategoryPerformanceData[products_sold],
    ""
)</f>
        <v>1853</v>
      </c>
      <c r="E14" s="16">
        <f>_xlfn.XLOOKUP(
    $R14,
    CategoryPerformanceData[category_name],
    CategoryPerformanceData[item_sales_value],
    ""
)</f>
        <v>578966.65</v>
      </c>
      <c r="F14" s="17">
        <f>_xlfn.XLOOKUP(
    $R14,
    CategoryPerformanceData[category_name],
    CategoryPerformanceData[item_sales_value_share_pct],
    ""
)</f>
        <v>4.3799999999999999E-2</v>
      </c>
      <c r="G14" s="16">
        <f>_xlfn.XLOOKUP(
    $R14,
    CategoryPerformanceData[category_name],
    CategoryPerformanceData[avg_item_price],
    ""
)</f>
        <v>139.85</v>
      </c>
      <c r="H14" s="18">
        <f>_xlfn.XLOOKUP(
    $R14,
    CategoryGrowthData[category_name],
    CategoryGrowthData[item_sales_value_2017],
    ""
)</f>
        <v>125247.48</v>
      </c>
      <c r="I14" s="16">
        <f>_xlfn.XLOOKUP(
    $R14,
    CategoryGrowthData[category_name],
    CategoryGrowthData[item_sales_value_2018],
    ""
)</f>
        <v>343288.3</v>
      </c>
      <c r="J14" s="16">
        <f>_xlfn.XLOOKUP(
    $R14,
    CategoryGrowthData[category_name],
    CategoryGrowthData[item_sales_value_change],
    ""
)</f>
        <v>218040.82</v>
      </c>
      <c r="K14" s="19">
        <f>_xlfn.LET(
    _xlpm.cat, $R14,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1.7409000000000001</v>
      </c>
      <c r="L14" s="20">
        <f>_xlfn.XLOOKUP(
    $R14,
    CategoryGrowthData[category_name],
    CategoryGrowthData[marketplace_share_change_pp],
    ""
)</f>
        <v>0.56999999999999995</v>
      </c>
      <c r="M14" s="19">
        <f>_xlfn.XLOOKUP(
    $R14,
    CategoryGrowthData[category_name],
    CategoryGrowthData[contribution_to_sales_growth_pct],
    ""
)</f>
        <v>5.16E-2</v>
      </c>
      <c r="N14" s="15">
        <f>_xlfn.XLOOKUP(
    $R14,
    CategoryReviewData[category_name],
    CategoryReviewData[reviewed_orders],
    ""
)</f>
        <v>3877</v>
      </c>
      <c r="O14" s="16">
        <f>_xlfn.XLOOKUP(
    $R14,
    CategoryReviewData[category_name],
    CategoryReviewData[avg_review_score],
    ""
)</f>
        <v>4.09</v>
      </c>
      <c r="P14" s="21">
        <f>_xlfn.XLOOKUP(
    $R14,
    CategoryReviewData[category_name],
    CategoryReviewData[low_review_rate_pct],
    ""
)</f>
        <v>0.14499999999999999</v>
      </c>
      <c r="Q14" s="21">
        <f>_xlfn.XLOOKUP(
    $R14,
    CategoryReviewData[category_name],
    CategoryReviewData[high_review_rate_pct],
    ""
)</f>
        <v>0.7770999999999999</v>
      </c>
      <c r="R14" s="1" t="s">
        <v>45</v>
      </c>
    </row>
    <row r="15" spans="1:18" x14ac:dyDescent="0.35">
      <c r="A15" s="2" t="str">
        <f>_xlfn.XLOOKUP(
    $R15,
    CategoryPerformanceData[category_name],
    CategoryPerformanceData[display_category],
    ""
)</f>
        <v>Toys</v>
      </c>
      <c r="B15" s="15">
        <f>_xlfn.XLOOKUP(
    $R15,
    CategoryPerformanceData[category_name],
    CategoryPerformanceData[completed_orders],
    ""
)</f>
        <v>3804</v>
      </c>
      <c r="C15" s="15">
        <f>_xlfn.XLOOKUP(
    $R15,
    CategoryPerformanceData[category_name],
    CategoryPerformanceData[items_sold],
    ""
)</f>
        <v>4030</v>
      </c>
      <c r="D15" s="15">
        <f>_xlfn.XLOOKUP(
    $R15,
    CategoryPerformanceData[category_name],
    CategoryPerformanceData[products_sold],
    ""
)</f>
        <v>1373</v>
      </c>
      <c r="E15" s="16">
        <f>_xlfn.XLOOKUP(
    $R15,
    CategoryPerformanceData[category_name],
    CategoryPerformanceData[item_sales_value],
    ""
)</f>
        <v>471286.48</v>
      </c>
      <c r="F15" s="17">
        <f>_xlfn.XLOOKUP(
    $R15,
    CategoryPerformanceData[category_name],
    CategoryPerformanceData[item_sales_value_share_pct],
    ""
)</f>
        <v>3.56E-2</v>
      </c>
      <c r="G15" s="16">
        <f>_xlfn.XLOOKUP(
    $R15,
    CategoryPerformanceData[category_name],
    CategoryPerformanceData[avg_item_price],
    ""
)</f>
        <v>116.94</v>
      </c>
      <c r="H15" s="18">
        <f>_xlfn.XLOOKUP(
    $R15,
    CategoryGrowthData[category_name],
    CategoryGrowthData[item_sales_value_2017],
    ""
)</f>
        <v>118449.64</v>
      </c>
      <c r="I15" s="16">
        <f>_xlfn.XLOOKUP(
    $R15,
    CategoryGrowthData[category_name],
    CategoryGrowthData[item_sales_value_2018],
    ""
)</f>
        <v>168123.27</v>
      </c>
      <c r="J15" s="16">
        <f>_xlfn.XLOOKUP(
    $R15,
    CategoryGrowthData[category_name],
    CategoryGrowthData[item_sales_value_change],
    ""
)</f>
        <v>49673.63</v>
      </c>
      <c r="K15" s="19">
        <f>_xlfn.LET(
    _xlpm.cat, $R15,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0.4194</v>
      </c>
      <c r="L15" s="20">
        <f>_xlfn.XLOOKUP(
    $R15,
    CategoryGrowthData[category_name],
    CategoryGrowthData[marketplace_share_change_pp],
    ""
)</f>
        <v>-1.63</v>
      </c>
      <c r="M15" s="19">
        <f>_xlfn.XLOOKUP(
    $R15,
    CategoryGrowthData[category_name],
    CategoryGrowthData[contribution_to_sales_growth_pct],
    ""
)</f>
        <v>1.18E-2</v>
      </c>
      <c r="N15" s="15">
        <f>_xlfn.XLOOKUP(
    $R15,
    CategoryReviewData[category_name],
    CategoryReviewData[reviewed_orders],
    ""
)</f>
        <v>3853</v>
      </c>
      <c r="O15" s="16">
        <f>_xlfn.XLOOKUP(
    $R15,
    CategoryReviewData[category_name],
    CategoryReviewData[avg_review_score],
    ""
)</f>
        <v>4.1900000000000004</v>
      </c>
      <c r="P15" s="21">
        <f>_xlfn.XLOOKUP(
    $R15,
    CategoryReviewData[category_name],
    CategoryReviewData[low_review_rate_pct],
    ""
)</f>
        <v>0.12689999999999999</v>
      </c>
      <c r="Q15" s="21">
        <f>_xlfn.XLOOKUP(
    $R15,
    CategoryReviewData[category_name],
    CategoryReviewData[high_review_rate_pct],
    ""
)</f>
        <v>0.79700000000000004</v>
      </c>
      <c r="R15" s="1" t="s">
        <v>46</v>
      </c>
    </row>
    <row r="16" spans="1:18" x14ac:dyDescent="0.35">
      <c r="A16" s="2" t="str">
        <f>_xlfn.XLOOKUP(
    $R16,
    CategoryPerformanceData[category_name],
    CategoryPerformanceData[display_category],
    ""
)</f>
        <v>Garden Tools</v>
      </c>
      <c r="B16" s="15">
        <f>_xlfn.XLOOKUP(
    $R16,
    CategoryPerformanceData[category_name],
    CategoryPerformanceData[completed_orders],
    ""
)</f>
        <v>3448</v>
      </c>
      <c r="C16" s="15">
        <f>_xlfn.XLOOKUP(
    $R16,
    CategoryPerformanceData[category_name],
    CategoryPerformanceData[items_sold],
    ""
)</f>
        <v>4268</v>
      </c>
      <c r="D16" s="15">
        <f>_xlfn.XLOOKUP(
    $R16,
    CategoryPerformanceData[category_name],
    CategoryPerformanceData[products_sold],
    ""
)</f>
        <v>725</v>
      </c>
      <c r="E16" s="16">
        <f>_xlfn.XLOOKUP(
    $R16,
    CategoryPerformanceData[category_name],
    CategoryPerformanceData[item_sales_value],
    ""
)</f>
        <v>470495.28</v>
      </c>
      <c r="F16" s="17">
        <f>_xlfn.XLOOKUP(
    $R16,
    CategoryPerformanceData[category_name],
    CategoryPerformanceData[item_sales_value_share_pct],
    ""
)</f>
        <v>3.56E-2</v>
      </c>
      <c r="G16" s="16">
        <f>_xlfn.XLOOKUP(
    $R16,
    CategoryPerformanceData[category_name],
    CategoryPerformanceData[avg_item_price],
    ""
)</f>
        <v>110.24</v>
      </c>
      <c r="H16" s="18">
        <f>_xlfn.XLOOKUP(
    $R16,
    CategoryGrowthData[category_name],
    CategoryGrowthData[item_sales_value_2017],
    ""
)</f>
        <v>138051.15</v>
      </c>
      <c r="I16" s="16">
        <f>_xlfn.XLOOKUP(
    $R16,
    CategoryGrowthData[category_name],
    CategoryGrowthData[item_sales_value_2018],
    ""
)</f>
        <v>212186.2</v>
      </c>
      <c r="J16" s="16">
        <f>_xlfn.XLOOKUP(
    $R16,
    CategoryGrowthData[category_name],
    CategoryGrowthData[item_sales_value_change],
    ""
)</f>
        <v>74135.05</v>
      </c>
      <c r="K16" s="19">
        <f>_xlfn.LET(
    _xlpm.cat, $R16,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0.53700000000000003</v>
      </c>
      <c r="L16" s="20">
        <f>_xlfn.XLOOKUP(
    $R16,
    CategoryGrowthData[category_name],
    CategoryGrowthData[marketplace_share_change_pp],
    ""
)</f>
        <v>-1.67</v>
      </c>
      <c r="M16" s="19">
        <f>_xlfn.XLOOKUP(
    $R16,
    CategoryGrowthData[category_name],
    CategoryGrowthData[contribution_to_sales_growth_pct],
    ""
)</f>
        <v>1.7500000000000002E-2</v>
      </c>
      <c r="N16" s="15">
        <f>_xlfn.XLOOKUP(
    $R16,
    CategoryReviewData[category_name],
    CategoryReviewData[reviewed_orders],
    ""
)</f>
        <v>3496</v>
      </c>
      <c r="O16" s="16">
        <f>_xlfn.XLOOKUP(
    $R16,
    CategoryReviewData[category_name],
    CategoryReviewData[avg_review_score],
    ""
)</f>
        <v>4.1399999999999997</v>
      </c>
      <c r="P16" s="21">
        <f>_xlfn.XLOOKUP(
    $R16,
    CategoryReviewData[category_name],
    CategoryReviewData[low_review_rate_pct],
    ""
)</f>
        <v>0.13439999999999999</v>
      </c>
      <c r="Q16" s="21">
        <f>_xlfn.XLOOKUP(
    $R16,
    CategoryReviewData[category_name],
    CategoryReviewData[high_review_rate_pct],
    ""
)</f>
        <v>0.78579999999999994</v>
      </c>
      <c r="R16" s="1" t="s">
        <v>47</v>
      </c>
    </row>
    <row r="17" spans="1:18" x14ac:dyDescent="0.35">
      <c r="A17" s="2" t="str">
        <f>_xlfn.XLOOKUP(
    $R17,
    CategoryPerformanceData[category_name],
    CategoryPerformanceData[display_category],
    ""
)</f>
        <v>Baby</v>
      </c>
      <c r="B17" s="15">
        <f>_xlfn.XLOOKUP(
    $R17,
    CategoryPerformanceData[category_name],
    CategoryPerformanceData[completed_orders],
    ""
)</f>
        <v>2809</v>
      </c>
      <c r="C17" s="15">
        <f>_xlfn.XLOOKUP(
    $R17,
    CategoryPerformanceData[category_name],
    CategoryPerformanceData[items_sold],
    ""
)</f>
        <v>2982</v>
      </c>
      <c r="D17" s="15">
        <f>_xlfn.XLOOKUP(
    $R17,
    CategoryPerformanceData[category_name],
    CategoryPerformanceData[products_sold],
    ""
)</f>
        <v>890</v>
      </c>
      <c r="E17" s="16">
        <f>_xlfn.XLOOKUP(
    $R17,
    CategoryPerformanceData[category_name],
    CategoryPerformanceData[item_sales_value],
    ""
)</f>
        <v>400421.84</v>
      </c>
      <c r="F17" s="17">
        <f>_xlfn.XLOOKUP(
    $R17,
    CategoryPerformanceData[category_name],
    CategoryPerformanceData[item_sales_value_share_pct],
    ""
)</f>
        <v>3.0299999999999997E-2</v>
      </c>
      <c r="G17" s="16">
        <f>_xlfn.XLOOKUP(
    $R17,
    CategoryPerformanceData[category_name],
    CategoryPerformanceData[avg_item_price],
    ""
)</f>
        <v>134.28</v>
      </c>
      <c r="H17" s="18">
        <f>_xlfn.XLOOKUP(
    $R17,
    CategoryGrowthData[category_name],
    CategoryGrowthData[item_sales_value_2017],
    ""
)</f>
        <v>67998.259999999995</v>
      </c>
      <c r="I17" s="16">
        <f>_xlfn.XLOOKUP(
    $R17,
    CategoryGrowthData[category_name],
    CategoryGrowthData[item_sales_value_2018],
    ""
)</f>
        <v>250615.79</v>
      </c>
      <c r="J17" s="16">
        <f>_xlfn.XLOOKUP(
    $R17,
    CategoryGrowthData[category_name],
    CategoryGrowthData[item_sales_value_change],
    ""
)</f>
        <v>182617.53</v>
      </c>
      <c r="K17" s="19">
        <f>_xlfn.LET(
    _xlpm.cat, $R17,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2.6856</v>
      </c>
      <c r="L17" s="20">
        <f>_xlfn.XLOOKUP(
    $R17,
    CategoryGrowthData[category_name],
    CategoryGrowthData[marketplace_share_change_pp],
    ""
)</f>
        <v>1.2</v>
      </c>
      <c r="M17" s="19">
        <f>_xlfn.XLOOKUP(
    $R17,
    CategoryGrowthData[category_name],
    CategoryGrowthData[contribution_to_sales_growth_pct],
    ""
)</f>
        <v>4.3200000000000002E-2</v>
      </c>
      <c r="N17" s="15">
        <f>_xlfn.XLOOKUP(
    $R17,
    CategoryReviewData[category_name],
    CategoryReviewData[reviewed_orders],
    ""
)</f>
        <v>2861</v>
      </c>
      <c r="O17" s="16">
        <f>_xlfn.XLOOKUP(
    $R17,
    CategoryReviewData[category_name],
    CategoryReviewData[avg_review_score],
    ""
)</f>
        <v>4.04</v>
      </c>
      <c r="P17" s="21">
        <f>_xlfn.XLOOKUP(
    $R17,
    CategoryReviewData[category_name],
    CategoryReviewData[low_review_rate_pct],
    ""
)</f>
        <v>0.16010000000000002</v>
      </c>
      <c r="Q17" s="21">
        <f>_xlfn.XLOOKUP(
    $R17,
    CategoryReviewData[category_name],
    CategoryReviewData[high_review_rate_pct],
    ""
)</f>
        <v>0.75360000000000005</v>
      </c>
      <c r="R17" s="1" t="s">
        <v>48</v>
      </c>
    </row>
    <row r="18" spans="1:18" x14ac:dyDescent="0.35">
      <c r="A18" s="2" t="str">
        <f>_xlfn.XLOOKUP(
    $R18,
    CategoryPerformanceData[category_name],
    CategoryPerformanceData[display_category],
    ""
)</f>
        <v>Perfumery</v>
      </c>
      <c r="B18" s="15">
        <f>_xlfn.XLOOKUP(
    $R18,
    CategoryPerformanceData[category_name],
    CategoryPerformanceData[completed_orders],
    ""
)</f>
        <v>3086</v>
      </c>
      <c r="C18" s="15">
        <f>_xlfn.XLOOKUP(
    $R18,
    CategoryPerformanceData[category_name],
    CategoryPerformanceData[items_sold],
    ""
)</f>
        <v>3340</v>
      </c>
      <c r="D18" s="15">
        <f>_xlfn.XLOOKUP(
    $R18,
    CategoryPerformanceData[category_name],
    CategoryPerformanceData[products_sold],
    ""
)</f>
        <v>857</v>
      </c>
      <c r="E18" s="16">
        <f>_xlfn.XLOOKUP(
    $R18,
    CategoryPerformanceData[category_name],
    CategoryPerformanceData[item_sales_value],
    ""
)</f>
        <v>390144.65</v>
      </c>
      <c r="F18" s="17">
        <f>_xlfn.XLOOKUP(
    $R18,
    CategoryPerformanceData[category_name],
    CategoryPerformanceData[item_sales_value_share_pct],
    ""
)</f>
        <v>2.9500000000000002E-2</v>
      </c>
      <c r="G18" s="16">
        <f>_xlfn.XLOOKUP(
    $R18,
    CategoryPerformanceData[category_name],
    CategoryPerformanceData[avg_item_price],
    ""
)</f>
        <v>116.81</v>
      </c>
      <c r="H18" s="18">
        <f>_xlfn.XLOOKUP(
    $R18,
    CategoryGrowthData[category_name],
    CategoryGrowthData[item_sales_value_2017],
    ""
)</f>
        <v>121953.36</v>
      </c>
      <c r="I18" s="16">
        <f>_xlfn.XLOOKUP(
    $R18,
    CategoryGrowthData[category_name],
    CategoryGrowthData[item_sales_value_2018],
    ""
)</f>
        <v>174372</v>
      </c>
      <c r="J18" s="16">
        <f>_xlfn.XLOOKUP(
    $R18,
    CategoryGrowthData[category_name],
    CategoryGrowthData[item_sales_value_change],
    ""
)</f>
        <v>52418.64</v>
      </c>
      <c r="K18" s="19">
        <f>_xlfn.LET(
    _xlpm.cat, $R18,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0.42979999999999996</v>
      </c>
      <c r="L18" s="20">
        <f>_xlfn.XLOOKUP(
    $R18,
    CategoryGrowthData[category_name],
    CategoryGrowthData[marketplace_share_change_pp],
    ""
)</f>
        <v>-1.66</v>
      </c>
      <c r="M18" s="19">
        <f>_xlfn.XLOOKUP(
    $R18,
    CategoryGrowthData[category_name],
    CategoryGrowthData[contribution_to_sales_growth_pct],
    ""
)</f>
        <v>1.24E-2</v>
      </c>
      <c r="N18" s="15">
        <f>_xlfn.XLOOKUP(
    $R18,
    CategoryReviewData[category_name],
    CategoryReviewData[reviewed_orders],
    ""
)</f>
        <v>3150</v>
      </c>
      <c r="O18" s="16">
        <f>_xlfn.XLOOKUP(
    $R18,
    CategoryReviewData[category_name],
    CategoryReviewData[avg_review_score],
    ""
)</f>
        <v>4.2</v>
      </c>
      <c r="P18" s="21">
        <f>_xlfn.XLOOKUP(
    $R18,
    CategoryReviewData[category_name],
    CategoryReviewData[low_review_rate_pct],
    ""
)</f>
        <v>0.1333</v>
      </c>
      <c r="Q18" s="21">
        <f>_xlfn.XLOOKUP(
    $R18,
    CategoryReviewData[category_name],
    CategoryReviewData[high_review_rate_pct],
    ""
)</f>
        <v>0.8</v>
      </c>
      <c r="R18" s="1" t="s">
        <v>49</v>
      </c>
    </row>
    <row r="19" spans="1:18" x14ac:dyDescent="0.35">
      <c r="A19" s="2" t="str">
        <f>_xlfn.XLOOKUP(
    $R19,
    CategoryPerformanceData[category_name],
    CategoryPerformanceData[display_category],
    ""
)</f>
        <v>Telephony</v>
      </c>
      <c r="B19" s="15">
        <f>_xlfn.XLOOKUP(
    $R19,
    CategoryPerformanceData[category_name],
    CategoryPerformanceData[completed_orders],
    ""
)</f>
        <v>4093</v>
      </c>
      <c r="C19" s="15">
        <f>_xlfn.XLOOKUP(
    $R19,
    CategoryPerformanceData[category_name],
    CategoryPerformanceData[items_sold],
    ""
)</f>
        <v>4430</v>
      </c>
      <c r="D19" s="15">
        <f>_xlfn.XLOOKUP(
    $R19,
    CategoryPerformanceData[category_name],
    CategoryPerformanceData[products_sold],
    ""
)</f>
        <v>1112</v>
      </c>
      <c r="E19" s="16">
        <f>_xlfn.XLOOKUP(
    $R19,
    CategoryPerformanceData[category_name],
    CategoryPerformanceData[item_sales_value],
    ""
)</f>
        <v>309860.23</v>
      </c>
      <c r="F19" s="17">
        <f>_xlfn.XLOOKUP(
    $R19,
    CategoryPerformanceData[category_name],
    CategoryPerformanceData[item_sales_value_share_pct],
    ""
)</f>
        <v>2.3399999999999997E-2</v>
      </c>
      <c r="G19" s="16">
        <f>_xlfn.XLOOKUP(
    $R19,
    CategoryPerformanceData[category_name],
    CategoryPerformanceData[avg_item_price],
    ""
)</f>
        <v>69.95</v>
      </c>
      <c r="H19" s="18">
        <f>_xlfn.XLOOKUP(
    $R19,
    CategoryGrowthData[category_name],
    CategoryGrowthData[item_sales_value_2017],
    ""
)</f>
        <v>57472.639999999999</v>
      </c>
      <c r="I19" s="16">
        <f>_xlfn.XLOOKUP(
    $R19,
    CategoryGrowthData[category_name],
    CategoryGrowthData[item_sales_value_2018],
    ""
)</f>
        <v>174123.68</v>
      </c>
      <c r="J19" s="16">
        <f>_xlfn.XLOOKUP(
    $R19,
    CategoryGrowthData[category_name],
    CategoryGrowthData[item_sales_value_change],
    ""
)</f>
        <v>116651.04</v>
      </c>
      <c r="K19" s="19">
        <f>_xlfn.LET(
    _xlpm.cat, $R19,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2.0297000000000001</v>
      </c>
      <c r="L19" s="20">
        <f>_xlfn.XLOOKUP(
    $R19,
    CategoryGrowthData[category_name],
    CategoryGrowthData[marketplace_share_change_pp],
    ""
)</f>
        <v>0.49</v>
      </c>
      <c r="M19" s="19">
        <f>_xlfn.XLOOKUP(
    $R19,
    CategoryGrowthData[category_name],
    CategoryGrowthData[contribution_to_sales_growth_pct],
    ""
)</f>
        <v>2.76E-2</v>
      </c>
      <c r="N19" s="15">
        <f>_xlfn.XLOOKUP(
    $R19,
    CategoryReviewData[category_name],
    CategoryReviewData[reviewed_orders],
    ""
)</f>
        <v>4168</v>
      </c>
      <c r="O19" s="16">
        <f>_xlfn.XLOOKUP(
    $R19,
    CategoryReviewData[category_name],
    CategoryReviewData[avg_review_score],
    ""
)</f>
        <v>4</v>
      </c>
      <c r="P19" s="21">
        <f>_xlfn.XLOOKUP(
    $R19,
    CategoryReviewData[category_name],
    CategoryReviewData[low_review_rate_pct],
    ""
)</f>
        <v>0.15479999999999999</v>
      </c>
      <c r="Q19" s="21">
        <f>_xlfn.XLOOKUP(
    $R19,
    CategoryReviewData[category_name],
    CategoryReviewData[high_review_rate_pct],
    ""
)</f>
        <v>0.74519999999999997</v>
      </c>
      <c r="R19" s="1" t="s">
        <v>50</v>
      </c>
    </row>
    <row r="20" spans="1:18" x14ac:dyDescent="0.35">
      <c r="A20" s="2" t="str">
        <f>_xlfn.XLOOKUP(
    $R20,
    CategoryPerformanceData[category_name],
    CategoryPerformanceData[display_category],
    ""
)</f>
        <v>Office Furniture</v>
      </c>
      <c r="B20" s="15">
        <f>_xlfn.XLOOKUP(
    $R20,
    CategoryPerformanceData[category_name],
    CategoryPerformanceData[completed_orders],
    ""
)</f>
        <v>1254</v>
      </c>
      <c r="C20" s="15">
        <f>_xlfn.XLOOKUP(
    $R20,
    CategoryPerformanceData[category_name],
    CategoryPerformanceData[items_sold],
    ""
)</f>
        <v>1668</v>
      </c>
      <c r="D20" s="15">
        <f>_xlfn.XLOOKUP(
    $R20,
    CategoryPerformanceData[category_name],
    CategoryPerformanceData[products_sold],
    ""
)</f>
        <v>302</v>
      </c>
      <c r="E20" s="16">
        <f>_xlfn.XLOOKUP(
    $R20,
    CategoryPerformanceData[category_name],
    CategoryPerformanceData[item_sales_value],
    ""
)</f>
        <v>268154.31</v>
      </c>
      <c r="F20" s="17">
        <f>_xlfn.XLOOKUP(
    $R20,
    CategoryPerformanceData[category_name],
    CategoryPerformanceData[item_sales_value_share_pct],
    ""
)</f>
        <v>2.0299999999999999E-2</v>
      </c>
      <c r="G20" s="16">
        <f>_xlfn.XLOOKUP(
    $R20,
    CategoryPerformanceData[category_name],
    CategoryPerformanceData[avg_item_price],
    ""
)</f>
        <v>160.76</v>
      </c>
      <c r="H20" s="18">
        <f>_xlfn.XLOOKUP(
    $R20,
    CategoryGrowthData[category_name],
    CategoryGrowthData[item_sales_value_2017],
    ""
)</f>
        <v>74662.009999999995</v>
      </c>
      <c r="I20" s="16">
        <f>_xlfn.XLOOKUP(
    $R20,
    CategoryGrowthData[category_name],
    CategoryGrowthData[item_sales_value_2018],
    ""
)</f>
        <v>140578.35</v>
      </c>
      <c r="J20" s="16">
        <f>_xlfn.XLOOKUP(
    $R20,
    CategoryGrowthData[category_name],
    CategoryGrowthData[item_sales_value_change],
    ""
)</f>
        <v>65916.34</v>
      </c>
      <c r="K20" s="19">
        <f>_xlfn.LET(
    _xlpm.cat, $R20,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0.88290000000000002</v>
      </c>
      <c r="L20" s="20">
        <f>_xlfn.XLOOKUP(
    $R20,
    CategoryGrowthData[category_name],
    CategoryGrowthData[marketplace_share_change_pp],
    ""
)</f>
        <v>-0.55000000000000004</v>
      </c>
      <c r="M20" s="19">
        <f>_xlfn.XLOOKUP(
    $R20,
    CategoryGrowthData[category_name],
    CategoryGrowthData[contribution_to_sales_growth_pct],
    ""
)</f>
        <v>1.5600000000000001E-2</v>
      </c>
      <c r="N20" s="15">
        <f>_xlfn.XLOOKUP(
    $R20,
    CategoryReviewData[category_name],
    CategoryReviewData[reviewed_orders],
    ""
)</f>
        <v>1263</v>
      </c>
      <c r="O20" s="16">
        <f>_xlfn.XLOOKUP(
    $R20,
    CategoryReviewData[category_name],
    CategoryReviewData[avg_review_score],
    ""
)</f>
        <v>3.62</v>
      </c>
      <c r="P20" s="21">
        <f>_xlfn.XLOOKUP(
    $R20,
    CategoryReviewData[category_name],
    CategoryReviewData[low_review_rate_pct],
    ""
)</f>
        <v>0.22640000000000002</v>
      </c>
      <c r="Q20" s="21">
        <f>_xlfn.XLOOKUP(
    $R20,
    CategoryReviewData[category_name],
    CategoryReviewData[high_review_rate_pct],
    ""
)</f>
        <v>0.62790000000000001</v>
      </c>
      <c r="R20" s="1" t="s">
        <v>51</v>
      </c>
    </row>
    <row r="21" spans="1:18" x14ac:dyDescent="0.35">
      <c r="A21" s="2" t="str">
        <f>_xlfn.XLOOKUP(
    $R21,
    CategoryPerformanceData[category_name],
    CategoryPerformanceData[display_category],
    ""
)</f>
        <v>Stationery</v>
      </c>
      <c r="B21" s="15">
        <f>_xlfn.XLOOKUP(
    $R21,
    CategoryPerformanceData[category_name],
    CategoryPerformanceData[completed_orders],
    ""
)</f>
        <v>2264</v>
      </c>
      <c r="C21" s="15">
        <f>_xlfn.XLOOKUP(
    $R21,
    CategoryPerformanceData[category_name],
    CategoryPerformanceData[items_sold],
    ""
)</f>
        <v>2466</v>
      </c>
      <c r="D21" s="15">
        <f>_xlfn.XLOOKUP(
    $R21,
    CategoryPerformanceData[category_name],
    CategoryPerformanceData[products_sold],
    ""
)</f>
        <v>831</v>
      </c>
      <c r="E21" s="16">
        <f>_xlfn.XLOOKUP(
    $R21,
    CategoryPerformanceData[category_name],
    CategoryPerformanceData[item_sales_value],
    ""
)</f>
        <v>223788.69</v>
      </c>
      <c r="F21" s="17">
        <f>_xlfn.XLOOKUP(
    $R21,
    CategoryPerformanceData[category_name],
    CategoryPerformanceData[item_sales_value_share_pct],
    ""
)</f>
        <v>1.6899999999999998E-2</v>
      </c>
      <c r="G21" s="16">
        <f>_xlfn.XLOOKUP(
    $R21,
    CategoryPerformanceData[category_name],
    CategoryPerformanceData[avg_item_price],
    ""
)</f>
        <v>90.75</v>
      </c>
      <c r="H21" s="18">
        <f>_xlfn.XLOOKUP(
    $R21,
    CategoryGrowthData[category_name],
    CategoryGrowthData[item_sales_value_2017],
    ""
)</f>
        <v>36724.959999999999</v>
      </c>
      <c r="I21" s="16">
        <f>_xlfn.XLOOKUP(
    $R21,
    CategoryGrowthData[category_name],
    CategoryGrowthData[item_sales_value_2018],
    ""
)</f>
        <v>132315.75</v>
      </c>
      <c r="J21" s="16">
        <f>_xlfn.XLOOKUP(
    $R21,
    CategoryGrowthData[category_name],
    CategoryGrowthData[item_sales_value_change],
    ""
)</f>
        <v>95590.79</v>
      </c>
      <c r="K21" s="19">
        <f>_xlfn.LET(
    _xlpm.cat, $R21,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2.6029</v>
      </c>
      <c r="L21" s="20">
        <f>_xlfn.XLOOKUP(
    $R21,
    CategoryGrowthData[category_name],
    CategoryGrowthData[marketplace_share_change_pp],
    ""
)</f>
        <v>0.61</v>
      </c>
      <c r="M21" s="19">
        <f>_xlfn.XLOOKUP(
    $R21,
    CategoryGrowthData[category_name],
    CategoryGrowthData[contribution_to_sales_growth_pct],
    ""
)</f>
        <v>2.2599999999999999E-2</v>
      </c>
      <c r="N21" s="15">
        <f>_xlfn.XLOOKUP(
    $R21,
    CategoryReviewData[category_name],
    CategoryReviewData[reviewed_orders],
    ""
)</f>
        <v>2295</v>
      </c>
      <c r="O21" s="16">
        <f>_xlfn.XLOOKUP(
    $R21,
    CategoryReviewData[category_name],
    CategoryReviewData[avg_review_score],
    ""
)</f>
        <v>4.25</v>
      </c>
      <c r="P21" s="21">
        <f>_xlfn.XLOOKUP(
    $R21,
    CategoryReviewData[category_name],
    CategoryReviewData[low_review_rate_pct],
    ""
)</f>
        <v>0.11460000000000001</v>
      </c>
      <c r="Q21" s="21">
        <f>_xlfn.XLOOKUP(
    $R21,
    CategoryReviewData[category_name],
    CategoryReviewData[high_review_rate_pct],
    ""
)</f>
        <v>0.82140000000000002</v>
      </c>
      <c r="R21" s="1" t="s">
        <v>52</v>
      </c>
    </row>
    <row r="22" spans="1:18" x14ac:dyDescent="0.35">
      <c r="A22" s="2" t="str">
        <f>_xlfn.XLOOKUP(
    $R22,
    CategoryPerformanceData[category_name],
    CategoryPerformanceData[display_category],
    ""
)</f>
        <v>Computers</v>
      </c>
      <c r="B22" s="15">
        <f>_xlfn.XLOOKUP(
    $R22,
    CategoryPerformanceData[category_name],
    CategoryPerformanceData[completed_orders],
    ""
)</f>
        <v>177</v>
      </c>
      <c r="C22" s="15">
        <f>_xlfn.XLOOKUP(
    $R22,
    CategoryPerformanceData[category_name],
    CategoryPerformanceData[items_sold],
    ""
)</f>
        <v>199</v>
      </c>
      <c r="D22" s="15">
        <f>_xlfn.XLOOKUP(
    $R22,
    CategoryPerformanceData[category_name],
    CategoryPerformanceData[products_sold],
    ""
)</f>
        <v>30</v>
      </c>
      <c r="E22" s="16">
        <f>_xlfn.XLOOKUP(
    $R22,
    CategoryPerformanceData[category_name],
    CategoryPerformanceData[item_sales_value],
    ""
)</f>
        <v>218684.14</v>
      </c>
      <c r="F22" s="17">
        <f>_xlfn.XLOOKUP(
    $R22,
    CategoryPerformanceData[category_name],
    CategoryPerformanceData[item_sales_value_share_pct],
    ""
)</f>
        <v>1.6500000000000001E-2</v>
      </c>
      <c r="G22" s="16">
        <f>_xlfn.XLOOKUP(
    $R22,
    CategoryPerformanceData[category_name],
    CategoryPerformanceData[avg_item_price],
    ""
)</f>
        <v>1098.92</v>
      </c>
      <c r="H22" s="18">
        <f>_xlfn.XLOOKUP(
    $R22,
    CategoryGrowthData[category_name],
    CategoryGrowthData[item_sales_value_2017],
    ""
)</f>
        <v>38148.99</v>
      </c>
      <c r="I22" s="16">
        <f>_xlfn.XLOOKUP(
    $R22,
    CategoryGrowthData[category_name],
    CategoryGrowthData[item_sales_value_2018],
    ""
)</f>
        <v>62403.34</v>
      </c>
      <c r="J22" s="16">
        <f>_xlfn.XLOOKUP(
    $R22,
    CategoryGrowthData[category_name],
    CategoryGrowthData[item_sales_value_change],
    ""
)</f>
        <v>24254.35</v>
      </c>
      <c r="K22" s="19">
        <f>_xlfn.LET(
    _xlpm.cat, $R22,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0.63580000000000003</v>
      </c>
      <c r="L22" s="20">
        <f>_xlfn.XLOOKUP(
    $R22,
    CategoryGrowthData[category_name],
    CategoryGrowthData[marketplace_share_change_pp],
    ""
)</f>
        <v>-0.41</v>
      </c>
      <c r="M22" s="19">
        <f>_xlfn.XLOOKUP(
    $R22,
    CategoryGrowthData[category_name],
    CategoryGrowthData[contribution_to_sales_growth_pct],
    ""
)</f>
        <v>5.6999999999999993E-3</v>
      </c>
      <c r="N22" s="15">
        <f>_xlfn.XLOOKUP(
    $R22,
    CategoryReviewData[category_name],
    CategoryReviewData[reviewed_orders],
    ""
)</f>
        <v>178</v>
      </c>
      <c r="O22" s="16">
        <f>_xlfn.XLOOKUP(
    $R22,
    CategoryReviewData[category_name],
    CategoryReviewData[avg_review_score],
    ""
)</f>
        <v>4.17</v>
      </c>
      <c r="P22" s="21">
        <f>_xlfn.XLOOKUP(
    $R22,
    CategoryReviewData[category_name],
    CategoryReviewData[low_review_rate_pct],
    ""
)</f>
        <v>0.12920000000000001</v>
      </c>
      <c r="Q22" s="21">
        <f>_xlfn.XLOOKUP(
    $R22,
    CategoryReviewData[category_name],
    CategoryReviewData[high_review_rate_pct],
    ""
)</f>
        <v>0.81459999999999999</v>
      </c>
      <c r="R22" s="1" t="s">
        <v>53</v>
      </c>
    </row>
    <row r="23" spans="1:18" x14ac:dyDescent="0.35">
      <c r="A23" s="2" t="str">
        <f>_xlfn.XLOOKUP(
    $R23,
    CategoryPerformanceData[category_name],
    CategoryPerformanceData[display_category],
    ""
)</f>
        <v>Pet Shop</v>
      </c>
      <c r="B23" s="15">
        <f>_xlfn.XLOOKUP(
    $R23,
    CategoryPerformanceData[category_name],
    CategoryPerformanceData[completed_orders],
    ""
)</f>
        <v>1688</v>
      </c>
      <c r="C23" s="15">
        <f>_xlfn.XLOOKUP(
    $R23,
    CategoryPerformanceData[category_name],
    CategoryPerformanceData[items_sold],
    ""
)</f>
        <v>1924</v>
      </c>
      <c r="D23" s="15">
        <f>_xlfn.XLOOKUP(
    $R23,
    CategoryPerformanceData[category_name],
    CategoryPerformanceData[products_sold],
    ""
)</f>
        <v>710</v>
      </c>
      <c r="E23" s="16">
        <f>_xlfn.XLOOKUP(
    $R23,
    CategoryPerformanceData[category_name],
    CategoryPerformanceData[item_sales_value],
    ""
)</f>
        <v>211695.64</v>
      </c>
      <c r="F23" s="17">
        <f>_xlfn.XLOOKUP(
    $R23,
    CategoryPerformanceData[category_name],
    CategoryPerformanceData[item_sales_value_share_pct],
    ""
)</f>
        <v>1.6E-2</v>
      </c>
      <c r="G23" s="16">
        <f>_xlfn.XLOOKUP(
    $R23,
    CategoryPerformanceData[category_name],
    CategoryPerformanceData[avg_item_price],
    ""
)</f>
        <v>110.03</v>
      </c>
      <c r="H23" s="18">
        <f>_xlfn.XLOOKUP(
    $R23,
    CategoryGrowthData[category_name],
    CategoryGrowthData[item_sales_value_2017],
    ""
)</f>
        <v>49083.29</v>
      </c>
      <c r="I23" s="16">
        <f>_xlfn.XLOOKUP(
    $R23,
    CategoryGrowthData[category_name],
    CategoryGrowthData[item_sales_value_2018],
    ""
)</f>
        <v>126849.64</v>
      </c>
      <c r="J23" s="16">
        <f>_xlfn.XLOOKUP(
    $R23,
    CategoryGrowthData[category_name],
    CategoryGrowthData[item_sales_value_change],
    ""
)</f>
        <v>77766.350000000006</v>
      </c>
      <c r="K23" s="19">
        <f>_xlfn.LET(
    _xlpm.cat, $R23,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1.5844</v>
      </c>
      <c r="L23" s="20">
        <f>_xlfn.XLOOKUP(
    $R23,
    CategoryGrowthData[category_name],
    CategoryGrowthData[marketplace_share_change_pp],
    ""
)</f>
        <v>0.12</v>
      </c>
      <c r="M23" s="19">
        <f>_xlfn.XLOOKUP(
    $R23,
    CategoryGrowthData[category_name],
    CategoryGrowthData[contribution_to_sales_growth_pct],
    ""
)</f>
        <v>1.84E-2</v>
      </c>
      <c r="N23" s="15">
        <f>_xlfn.XLOOKUP(
    $R23,
    CategoryReviewData[category_name],
    CategoryReviewData[reviewed_orders],
    ""
)</f>
        <v>1701</v>
      </c>
      <c r="O23" s="16">
        <f>_xlfn.XLOOKUP(
    $R23,
    CategoryReviewData[category_name],
    CategoryReviewData[avg_review_score],
    ""
)</f>
        <v>4.24</v>
      </c>
      <c r="P23" s="21">
        <f>_xlfn.XLOOKUP(
    $R23,
    CategoryReviewData[category_name],
    CategoryReviewData[low_review_rate_pct],
    ""
)</f>
        <v>0.1164</v>
      </c>
      <c r="Q23" s="21">
        <f>_xlfn.XLOOKUP(
    $R23,
    CategoryReviewData[category_name],
    CategoryReviewData[high_review_rate_pct],
    ""
)</f>
        <v>0.81310000000000004</v>
      </c>
      <c r="R23" s="1" t="s">
        <v>54</v>
      </c>
    </row>
    <row r="24" spans="1:18" x14ac:dyDescent="0.35">
      <c r="A24" s="2" t="str">
        <f>_xlfn.XLOOKUP(
    $R24,
    CategoryPerformanceData[category_name],
    CategoryPerformanceData[display_category],
    ""
)</f>
        <v>Musical Instruments</v>
      </c>
      <c r="B24" s="15">
        <f>_xlfn.XLOOKUP(
    $R24,
    CategoryPerformanceData[category_name],
    CategoryPerformanceData[completed_orders],
    ""
)</f>
        <v>611</v>
      </c>
      <c r="C24" s="15">
        <f>_xlfn.XLOOKUP(
    $R24,
    CategoryPerformanceData[category_name],
    CategoryPerformanceData[items_sold],
    ""
)</f>
        <v>651</v>
      </c>
      <c r="D24" s="15">
        <f>_xlfn.XLOOKUP(
    $R24,
    CategoryPerformanceData[category_name],
    CategoryPerformanceData[products_sold],
    ""
)</f>
        <v>279</v>
      </c>
      <c r="E24" s="16">
        <f>_xlfn.XLOOKUP(
    $R24,
    CategoryPerformanceData[category_name],
    CategoryPerformanceData[item_sales_value],
    ""
)</f>
        <v>184315.74</v>
      </c>
      <c r="F24" s="17">
        <f>_xlfn.XLOOKUP(
    $R24,
    CategoryPerformanceData[category_name],
    CategoryPerformanceData[item_sales_value_share_pct],
    ""
)</f>
        <v>1.3899999999999999E-2</v>
      </c>
      <c r="G24" s="16">
        <f>_xlfn.XLOOKUP(
    $R24,
    CategoryPerformanceData[category_name],
    CategoryPerformanceData[avg_item_price],
    ""
)</f>
        <v>283.13</v>
      </c>
      <c r="H24" s="18">
        <f>_xlfn.XLOOKUP(
    $R24,
    CategoryGrowthData[category_name],
    CategoryGrowthData[item_sales_value_2017],
    ""
)</f>
        <v>37051.410000000003</v>
      </c>
      <c r="I24" s="16">
        <f>_xlfn.XLOOKUP(
    $R24,
    CategoryGrowthData[category_name],
    CategoryGrowthData[item_sales_value_2018],
    ""
)</f>
        <v>105827.28</v>
      </c>
      <c r="J24" s="16">
        <f>_xlfn.XLOOKUP(
    $R24,
    CategoryGrowthData[category_name],
    CategoryGrowthData[item_sales_value_change],
    ""
)</f>
        <v>68775.87</v>
      </c>
      <c r="K24" s="19">
        <f>_xlfn.LET(
    _xlpm.cat, $R24,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1.8562000000000001</v>
      </c>
      <c r="L24" s="20">
        <f>_xlfn.XLOOKUP(
    $R24,
    CategoryGrowthData[category_name],
    CategoryGrowthData[marketplace_share_change_pp],
    ""
)</f>
        <v>0.23</v>
      </c>
      <c r="M24" s="19">
        <f>_xlfn.XLOOKUP(
    $R24,
    CategoryGrowthData[category_name],
    CategoryGrowthData[contribution_to_sales_growth_pct],
    ""
)</f>
        <v>1.6299999999999999E-2</v>
      </c>
      <c r="N24" s="15">
        <f>_xlfn.XLOOKUP(
    $R24,
    CategoryReviewData[category_name],
    CategoryReviewData[reviewed_orders],
    ""
)</f>
        <v>622</v>
      </c>
      <c r="O24" s="16">
        <f>_xlfn.XLOOKUP(
    $R24,
    CategoryReviewData[category_name],
    CategoryReviewData[avg_review_score],
    ""
)</f>
        <v>4.18</v>
      </c>
      <c r="P24" s="21">
        <f>_xlfn.XLOOKUP(
    $R24,
    CategoryReviewData[category_name],
    CategoryReviewData[low_review_rate_pct],
    ""
)</f>
        <v>0.1318</v>
      </c>
      <c r="Q24" s="21">
        <f>_xlfn.XLOOKUP(
    $R24,
    CategoryReviewData[category_name],
    CategoryReviewData[high_review_rate_pct],
    ""
)</f>
        <v>0.80390000000000006</v>
      </c>
      <c r="R24" s="1" t="s">
        <v>55</v>
      </c>
    </row>
    <row r="25" spans="1:18" x14ac:dyDescent="0.35">
      <c r="A25" s="2" t="str">
        <f>_xlfn.XLOOKUP(
    $R25,
    CategoryPerformanceData[category_name],
    CategoryPerformanceData[display_category],
    ""
)</f>
        <v>Small Appliances</v>
      </c>
      <c r="B25" s="15">
        <f>_xlfn.XLOOKUP(
    $R25,
    CategoryPerformanceData[category_name],
    CategoryPerformanceData[completed_orders],
    ""
)</f>
        <v>609</v>
      </c>
      <c r="C25" s="15">
        <f>_xlfn.XLOOKUP(
    $R25,
    CategoryPerformanceData[category_name],
    CategoryPerformanceData[items_sold],
    ""
)</f>
        <v>658</v>
      </c>
      <c r="D25" s="15">
        <f>_xlfn.XLOOKUP(
    $R25,
    CategoryPerformanceData[category_name],
    CategoryPerformanceData[products_sold],
    ""
)</f>
        <v>220</v>
      </c>
      <c r="E25" s="16">
        <f>_xlfn.XLOOKUP(
    $R25,
    CategoryPerformanceData[category_name],
    CategoryPerformanceData[item_sales_value],
    ""
)</f>
        <v>182754.12</v>
      </c>
      <c r="F25" s="17">
        <f>_xlfn.XLOOKUP(
    $R25,
    CategoryPerformanceData[category_name],
    CategoryPerformanceData[item_sales_value_share_pct],
    ""
)</f>
        <v>1.38E-2</v>
      </c>
      <c r="G25" s="16">
        <f>_xlfn.XLOOKUP(
    $R25,
    CategoryPerformanceData[category_name],
    CategoryPerformanceData[avg_item_price],
    ""
)</f>
        <v>277.74</v>
      </c>
      <c r="H25" s="18">
        <f>_xlfn.XLOOKUP(
    $R25,
    CategoryGrowthData[category_name],
    CategoryGrowthData[item_sales_value_2017],
    ""
)</f>
        <v>66022.899999999994</v>
      </c>
      <c r="I25" s="16">
        <f>_xlfn.XLOOKUP(
    $R25,
    CategoryGrowthData[category_name],
    CategoryGrowthData[item_sales_value_2018],
    ""
)</f>
        <v>85912.94</v>
      </c>
      <c r="J25" s="16">
        <f>_xlfn.XLOOKUP(
    $R25,
    CategoryGrowthData[category_name],
    CategoryGrowthData[item_sales_value_change],
    ""
)</f>
        <v>19890.04</v>
      </c>
      <c r="K25" s="19">
        <f>_xlfn.LET(
    _xlpm.cat, $R25,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0.30130000000000001</v>
      </c>
      <c r="L25" s="20">
        <f>_xlfn.XLOOKUP(
    $R25,
    CategoryGrowthData[category_name],
    CategoryGrowthData[marketplace_share_change_pp],
    ""
)</f>
        <v>-1.02</v>
      </c>
      <c r="M25" s="19">
        <f>_xlfn.XLOOKUP(
    $R25,
    CategoryGrowthData[category_name],
    CategoryGrowthData[contribution_to_sales_growth_pct],
    ""
)</f>
        <v>4.6999999999999993E-3</v>
      </c>
      <c r="N25" s="15">
        <f>_xlfn.XLOOKUP(
    $R25,
    CategoryReviewData[category_name],
    CategoryReviewData[reviewed_orders],
    ""
)</f>
        <v>624</v>
      </c>
      <c r="O25" s="16">
        <f>_xlfn.XLOOKUP(
    $R25,
    CategoryReviewData[category_name],
    CategoryReviewData[avg_review_score],
    ""
)</f>
        <v>4.17</v>
      </c>
      <c r="P25" s="21">
        <f>_xlfn.XLOOKUP(
    $R25,
    CategoryReviewData[category_name],
    CategoryReviewData[low_review_rate_pct],
    ""
)</f>
        <v>0.1394</v>
      </c>
      <c r="Q25" s="21">
        <f>_xlfn.XLOOKUP(
    $R25,
    CategoryReviewData[category_name],
    CategoryReviewData[high_review_rate_pct],
    ""
)</f>
        <v>0.80449999999999999</v>
      </c>
      <c r="R25" s="1" t="s">
        <v>56</v>
      </c>
    </row>
    <row r="26" spans="1:18" x14ac:dyDescent="0.35">
      <c r="A26" s="2" t="str">
        <f>_xlfn.XLOOKUP(
    $R26,
    CategoryPerformanceData[category_name],
    CategoryPerformanceData[display_category],
    ""
)</f>
        <v>Unknown</v>
      </c>
      <c r="B26" s="15">
        <f>_xlfn.XLOOKUP(
    $R26,
    CategoryPerformanceData[category_name],
    CategoryPerformanceData[completed_orders],
    ""
)</f>
        <v>1392</v>
      </c>
      <c r="C26" s="15">
        <f>_xlfn.XLOOKUP(
    $R26,
    CategoryPerformanceData[category_name],
    CategoryPerformanceData[items_sold],
    ""
)</f>
        <v>1537</v>
      </c>
      <c r="D26" s="15">
        <f>_xlfn.XLOOKUP(
    $R26,
    CategoryPerformanceData[category_name],
    CategoryPerformanceData[products_sold],
    ""
)</f>
        <v>584</v>
      </c>
      <c r="E26" s="16">
        <f>_xlfn.XLOOKUP(
    $R26,
    CategoryPerformanceData[category_name],
    CategoryPerformanceData[item_sales_value],
    ""
)</f>
        <v>170726.63</v>
      </c>
      <c r="F26" s="17">
        <f>_xlfn.XLOOKUP(
    $R26,
    CategoryPerformanceData[category_name],
    CategoryPerformanceData[item_sales_value_share_pct],
    ""
)</f>
        <v>1.29E-2</v>
      </c>
      <c r="G26" s="16">
        <f>_xlfn.XLOOKUP(
    $R26,
    CategoryPerformanceData[category_name],
    CategoryPerformanceData[avg_item_price],
    ""
)</f>
        <v>111.08</v>
      </c>
      <c r="H26" s="18">
        <f>_xlfn.XLOOKUP(
    $R26,
    CategoryGrowthData[category_name],
    CategoryGrowthData[item_sales_value_2017],
    ""
)</f>
        <v>48687.16</v>
      </c>
      <c r="I26" s="16">
        <f>_xlfn.XLOOKUP(
    $R26,
    CategoryGrowthData[category_name],
    CategoryGrowthData[item_sales_value_2018],
    ""
)</f>
        <v>70593.94</v>
      </c>
      <c r="J26" s="16">
        <f>_xlfn.XLOOKUP(
    $R26,
    CategoryGrowthData[category_name],
    CategoryGrowthData[item_sales_value_change],
    ""
)</f>
        <v>21906.78</v>
      </c>
      <c r="K26" s="19">
        <f>_xlfn.LET(
    _xlpm.cat, $R26,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0.44990000000000002</v>
      </c>
      <c r="L26" s="20">
        <f>_xlfn.XLOOKUP(
    $R26,
    CategoryGrowthData[category_name],
    CategoryGrowthData[marketplace_share_change_pp],
    ""
)</f>
        <v>-0.65</v>
      </c>
      <c r="M26" s="19">
        <f>_xlfn.XLOOKUP(
    $R26,
    CategoryGrowthData[category_name],
    CategoryGrowthData[contribution_to_sales_growth_pct],
    ""
)</f>
        <v>5.1999999999999998E-3</v>
      </c>
      <c r="N26" s="15">
        <f>_xlfn.XLOOKUP(
    $R26,
    CategoryReviewData[category_name],
    CategoryReviewData[reviewed_orders],
    ""
)</f>
        <v>1439</v>
      </c>
      <c r="O26" s="16">
        <f>_xlfn.XLOOKUP(
    $R26,
    CategoryReviewData[category_name],
    CategoryReviewData[avg_review_score],
    ""
)</f>
        <v>3.91</v>
      </c>
      <c r="P26" s="21">
        <f>_xlfn.XLOOKUP(
    $R26,
    CategoryReviewData[category_name],
    CategoryReviewData[low_review_rate_pct],
    ""
)</f>
        <v>0.20079999999999998</v>
      </c>
      <c r="Q26" s="21">
        <f>_xlfn.XLOOKUP(
    $R26,
    CategoryReviewData[category_name],
    CategoryReviewData[high_review_rate_pct],
    ""
)</f>
        <v>0.7359</v>
      </c>
      <c r="R26" s="1" t="s">
        <v>57</v>
      </c>
    </row>
    <row r="27" spans="1:18" x14ac:dyDescent="0.35">
      <c r="A27" s="2" t="str">
        <f>_xlfn.XLOOKUP(
    $R27,
    CategoryPerformanceData[category_name],
    CategoryPerformanceData[display_category],
    ""
)</f>
        <v>Electronics</v>
      </c>
      <c r="B27" s="15">
        <f>_xlfn.XLOOKUP(
    $R27,
    CategoryPerformanceData[category_name],
    CategoryPerformanceData[completed_orders],
    ""
)</f>
        <v>2517</v>
      </c>
      <c r="C27" s="15">
        <f>_xlfn.XLOOKUP(
    $R27,
    CategoryPerformanceData[category_name],
    CategoryPerformanceData[items_sold],
    ""
)</f>
        <v>2729</v>
      </c>
      <c r="D27" s="15">
        <f>_xlfn.XLOOKUP(
    $R27,
    CategoryPerformanceData[category_name],
    CategoryPerformanceData[products_sold],
    ""
)</f>
        <v>507</v>
      </c>
      <c r="E27" s="16">
        <f>_xlfn.XLOOKUP(
    $R27,
    CategoryPerformanceData[category_name],
    CategoryPerformanceData[item_sales_value],
    ""
)</f>
        <v>155043.93</v>
      </c>
      <c r="F27" s="17">
        <f>_xlfn.XLOOKUP(
    $R27,
    CategoryPerformanceData[category_name],
    CategoryPerformanceData[item_sales_value_share_pct],
    ""
)</f>
        <v>1.1699999999999999E-2</v>
      </c>
      <c r="G27" s="16">
        <f>_xlfn.XLOOKUP(
    $R27,
    CategoryPerformanceData[category_name],
    CategoryPerformanceData[avg_item_price],
    ""
)</f>
        <v>56.81</v>
      </c>
      <c r="H27" s="18">
        <f>_xlfn.XLOOKUP(
    $R27,
    CategoryGrowthData[category_name],
    CategoryGrowthData[item_sales_value_2017],
    ""
)</f>
        <v>28973.43</v>
      </c>
      <c r="I27" s="16">
        <f>_xlfn.XLOOKUP(
    $R27,
    CategoryGrowthData[category_name],
    CategoryGrowthData[item_sales_value_2018],
    ""
)</f>
        <v>99735.6</v>
      </c>
      <c r="J27" s="16">
        <f>_xlfn.XLOOKUP(
    $R27,
    CategoryGrowthData[category_name],
    CategoryGrowthData[item_sales_value_change],
    ""
)</f>
        <v>70762.17</v>
      </c>
      <c r="K27" s="19">
        <f>_xlfn.LET(
    _xlpm.cat, $R27,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2.4422999999999999</v>
      </c>
      <c r="L27" s="20">
        <f>_xlfn.XLOOKUP(
    $R27,
    CategoryGrowthData[category_name],
    CategoryGrowthData[marketplace_share_change_pp],
    ""
)</f>
        <v>0.41</v>
      </c>
      <c r="M27" s="19">
        <f>_xlfn.XLOOKUP(
    $R27,
    CategoryGrowthData[category_name],
    CategoryGrowthData[contribution_to_sales_growth_pct],
    ""
)</f>
        <v>1.67E-2</v>
      </c>
      <c r="N27" s="15">
        <f>_xlfn.XLOOKUP(
    $R27,
    CategoryReviewData[category_name],
    CategoryReviewData[reviewed_orders],
    ""
)</f>
        <v>2531</v>
      </c>
      <c r="O27" s="16">
        <f>_xlfn.XLOOKUP(
    $R27,
    CategoryReviewData[category_name],
    CategoryReviewData[avg_review_score],
    ""
)</f>
        <v>4.0999999999999996</v>
      </c>
      <c r="P27" s="21">
        <f>_xlfn.XLOOKUP(
    $R27,
    CategoryReviewData[category_name],
    CategoryReviewData[low_review_rate_pct],
    ""
)</f>
        <v>0.14069999999999999</v>
      </c>
      <c r="Q27" s="21">
        <f>_xlfn.XLOOKUP(
    $R27,
    CategoryReviewData[category_name],
    CategoryReviewData[high_review_rate_pct],
    ""
)</f>
        <v>0.78069999999999995</v>
      </c>
      <c r="R27" s="1" t="s">
        <v>58</v>
      </c>
    </row>
    <row r="28" spans="1:18" x14ac:dyDescent="0.35">
      <c r="A28" s="2" t="str">
        <f>_xlfn.XLOOKUP(
    $R28,
    CategoryPerformanceData[category_name],
    CategoryPerformanceData[display_category],
    ""
)</f>
        <v>Fashion Bags Accessories</v>
      </c>
      <c r="B28" s="15">
        <f>_xlfn.XLOOKUP(
    $R28,
    CategoryPerformanceData[category_name],
    CategoryPerformanceData[completed_orders],
    ""
)</f>
        <v>1820</v>
      </c>
      <c r="C28" s="15">
        <f>_xlfn.XLOOKUP(
    $R28,
    CategoryPerformanceData[category_name],
    CategoryPerformanceData[items_sold],
    ""
)</f>
        <v>1985</v>
      </c>
      <c r="D28" s="15">
        <f>_xlfn.XLOOKUP(
    $R28,
    CategoryPerformanceData[category_name],
    CategoryPerformanceData[products_sold],
    ""
)</f>
        <v>829</v>
      </c>
      <c r="E28" s="16">
        <f>_xlfn.XLOOKUP(
    $R28,
    CategoryPerformanceData[category_name],
    CategoryPerformanceData[item_sales_value],
    ""
)</f>
        <v>149329.39000000001</v>
      </c>
      <c r="F28" s="17">
        <f>_xlfn.XLOOKUP(
    $R28,
    CategoryPerformanceData[category_name],
    CategoryPerformanceData[item_sales_value_share_pct],
    ""
)</f>
        <v>1.1299999999999999E-2</v>
      </c>
      <c r="G28" s="16">
        <f>_xlfn.XLOOKUP(
    $R28,
    CategoryPerformanceData[category_name],
    CategoryPerformanceData[avg_item_price],
    ""
)</f>
        <v>75.23</v>
      </c>
      <c r="H28" s="18">
        <f>_xlfn.XLOOKUP(
    $R28,
    CategoryGrowthData[category_name],
    CategoryGrowthData[item_sales_value_2017],
    ""
)</f>
        <v>37140.769999999997</v>
      </c>
      <c r="I28" s="16">
        <f>_xlfn.XLOOKUP(
    $R28,
    CategoryGrowthData[category_name],
    CategoryGrowthData[item_sales_value_2018],
    ""
)</f>
        <v>69592.429999999993</v>
      </c>
      <c r="J28" s="16">
        <f>_xlfn.XLOOKUP(
    $R28,
    CategoryGrowthData[category_name],
    CategoryGrowthData[item_sales_value_change],
    ""
)</f>
        <v>32451.66</v>
      </c>
      <c r="K28" s="19">
        <f>_xlfn.LET(
    _xlpm.cat, $R28,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0.87370000000000003</v>
      </c>
      <c r="L28" s="20">
        <f>_xlfn.XLOOKUP(
    $R28,
    CategoryGrowthData[category_name],
    CategoryGrowthData[marketplace_share_change_pp],
    ""
)</f>
        <v>-0.28000000000000003</v>
      </c>
      <c r="M28" s="19">
        <f>_xlfn.XLOOKUP(
    $R28,
    CategoryGrowthData[category_name],
    CategoryGrowthData[contribution_to_sales_growth_pct],
    ""
)</f>
        <v>7.7000000000000002E-3</v>
      </c>
      <c r="N28" s="15">
        <f>_xlfn.XLOOKUP(
    $R28,
    CategoryReviewData[category_name],
    CategoryReviewData[reviewed_orders],
    ""
)</f>
        <v>1854</v>
      </c>
      <c r="O28" s="16">
        <f>_xlfn.XLOOKUP(
    $R28,
    CategoryReviewData[category_name],
    CategoryReviewData[avg_review_score],
    ""
)</f>
        <v>4.1900000000000004</v>
      </c>
      <c r="P28" s="21">
        <f>_xlfn.XLOOKUP(
    $R28,
    CategoryReviewData[category_name],
    CategoryReviewData[low_review_rate_pct],
    ""
)</f>
        <v>0.11599999999999999</v>
      </c>
      <c r="Q28" s="21">
        <f>_xlfn.XLOOKUP(
    $R28,
    CategoryReviewData[category_name],
    CategoryReviewData[high_review_rate_pct],
    ""
)</f>
        <v>0.80040000000000011</v>
      </c>
      <c r="R28" s="1" t="s">
        <v>59</v>
      </c>
    </row>
    <row r="29" spans="1:18" x14ac:dyDescent="0.35">
      <c r="A29" s="2" t="str">
        <f>_xlfn.XLOOKUP(
    $R29,
    CategoryPerformanceData[category_name],
    CategoryPerformanceData[display_category],
    ""
)</f>
        <v>Consoles Games</v>
      </c>
      <c r="B29" s="15">
        <f>_xlfn.XLOOKUP(
    $R29,
    CategoryPerformanceData[category_name],
    CategoryPerformanceData[completed_orders],
    ""
)</f>
        <v>1018</v>
      </c>
      <c r="C29" s="15">
        <f>_xlfn.XLOOKUP(
    $R29,
    CategoryPerformanceData[category_name],
    CategoryPerformanceData[items_sold],
    ""
)</f>
        <v>1089</v>
      </c>
      <c r="D29" s="15">
        <f>_xlfn.XLOOKUP(
    $R29,
    CategoryPerformanceData[category_name],
    CategoryPerformanceData[products_sold],
    ""
)</f>
        <v>300</v>
      </c>
      <c r="E29" s="16">
        <f>_xlfn.XLOOKUP(
    $R29,
    CategoryPerformanceData[category_name],
    CategoryPerformanceData[item_sales_value],
    ""
)</f>
        <v>148003.37</v>
      </c>
      <c r="F29" s="17">
        <f>_xlfn.XLOOKUP(
    $R29,
    CategoryPerformanceData[category_name],
    CategoryPerformanceData[item_sales_value_share_pct],
    ""
)</f>
        <v>1.1200000000000002E-2</v>
      </c>
      <c r="G29" s="16">
        <f>_xlfn.XLOOKUP(
    $R29,
    CategoryPerformanceData[category_name],
    CategoryPerformanceData[avg_item_price],
    ""
)</f>
        <v>135.91</v>
      </c>
      <c r="H29" s="18">
        <f>_xlfn.XLOOKUP(
    $R29,
    CategoryGrowthData[category_name],
    CategoryGrowthData[item_sales_value_2017],
    ""
)</f>
        <v>43698.35</v>
      </c>
      <c r="I29" s="16">
        <f>_xlfn.XLOOKUP(
    $R29,
    CategoryGrowthData[category_name],
    CategoryGrowthData[item_sales_value_2018],
    ""
)</f>
        <v>61497.08</v>
      </c>
      <c r="J29" s="16">
        <f>_xlfn.XLOOKUP(
    $R29,
    CategoryGrowthData[category_name],
    CategoryGrowthData[item_sales_value_change],
    ""
)</f>
        <v>17798.73</v>
      </c>
      <c r="K29" s="19">
        <f>_xlfn.LET(
    _xlpm.cat, $R29,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0.4073</v>
      </c>
      <c r="L29" s="20">
        <f>_xlfn.XLOOKUP(
    $R29,
    CategoryGrowthData[category_name],
    CategoryGrowthData[marketplace_share_change_pp],
    ""
)</f>
        <v>-0.61</v>
      </c>
      <c r="M29" s="19">
        <f>_xlfn.XLOOKUP(
    $R29,
    CategoryGrowthData[category_name],
    CategoryGrowthData[contribution_to_sales_growth_pct],
    ""
)</f>
        <v>4.1999999999999997E-3</v>
      </c>
      <c r="N29" s="15">
        <f>_xlfn.XLOOKUP(
    $R29,
    CategoryReviewData[category_name],
    CategoryReviewData[reviewed_orders],
    ""
)</f>
        <v>1052</v>
      </c>
      <c r="O29" s="16">
        <f>_xlfn.XLOOKUP(
    $R29,
    CategoryReviewData[category_name],
    CategoryReviewData[avg_review_score],
    ""
)</f>
        <v>4.07</v>
      </c>
      <c r="P29" s="21">
        <f>_xlfn.XLOOKUP(
    $R29,
    CategoryReviewData[category_name],
    CategoryReviewData[low_review_rate_pct],
    ""
)</f>
        <v>0.1426</v>
      </c>
      <c r="Q29" s="21">
        <f>_xlfn.XLOOKUP(
    $R29,
    CategoryReviewData[category_name],
    CategoryReviewData[high_review_rate_pct],
    ""
)</f>
        <v>0.75569999999999993</v>
      </c>
      <c r="R29" s="1" t="s">
        <v>60</v>
      </c>
    </row>
    <row r="30" spans="1:18" x14ac:dyDescent="0.35">
      <c r="A30" s="2" t="str">
        <f>_xlfn.XLOOKUP(
    $R30,
    CategoryPerformanceData[category_name],
    CategoryPerformanceData[display_category],
    ""
)</f>
        <v>Construction Tools Construction</v>
      </c>
      <c r="B30" s="15">
        <f>_xlfn.XLOOKUP(
    $R30,
    CategoryPerformanceData[category_name],
    CategoryPerformanceData[completed_orders],
    ""
)</f>
        <v>736</v>
      </c>
      <c r="C30" s="15">
        <f>_xlfn.XLOOKUP(
    $R30,
    CategoryPerformanceData[category_name],
    CategoryPerformanceData[items_sold],
    ""
)</f>
        <v>916</v>
      </c>
      <c r="D30" s="15">
        <f>_xlfn.XLOOKUP(
    $R30,
    CategoryPerformanceData[category_name],
    CategoryPerformanceData[products_sold],
    ""
)</f>
        <v>393</v>
      </c>
      <c r="E30" s="16">
        <f>_xlfn.XLOOKUP(
    $R30,
    CategoryPerformanceData[category_name],
    CategoryPerformanceData[item_sales_value],
    ""
)</f>
        <v>142108.49</v>
      </c>
      <c r="F30" s="17">
        <f>_xlfn.XLOOKUP(
    $R30,
    CategoryPerformanceData[category_name],
    CategoryPerformanceData[item_sales_value_share_pct],
    ""
)</f>
        <v>1.0700000000000001E-2</v>
      </c>
      <c r="G30" s="16">
        <f>_xlfn.XLOOKUP(
    $R30,
    CategoryPerformanceData[category_name],
    CategoryPerformanceData[avg_item_price],
    ""
)</f>
        <v>155.13999999999999</v>
      </c>
      <c r="H30" s="18">
        <f>_xlfn.XLOOKUP(
    $R30,
    CategoryGrowthData[category_name],
    CategoryGrowthData[item_sales_value_2017],
    ""
)</f>
        <v>2581.4899999999998</v>
      </c>
      <c r="I30" s="16">
        <f>_xlfn.XLOOKUP(
    $R30,
    CategoryGrowthData[category_name],
    CategoryGrowthData[item_sales_value_2018],
    ""
)</f>
        <v>122886.61</v>
      </c>
      <c r="J30" s="16">
        <f>_xlfn.XLOOKUP(
    $R30,
    CategoryGrowthData[category_name],
    CategoryGrowthData[item_sales_value_change],
    ""
)</f>
        <v>120305.12</v>
      </c>
      <c r="K30" s="19">
        <f>_xlfn.LET(
    _xlpm.cat, $R30,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46.603000000000002</v>
      </c>
      <c r="L30" s="20">
        <f>_xlfn.XLOOKUP(
    $R30,
    CategoryGrowthData[category_name],
    CategoryGrowthData[marketplace_share_change_pp],
    ""
)</f>
        <v>1.62</v>
      </c>
      <c r="M30" s="19">
        <f>_xlfn.XLOOKUP(
    $R30,
    CategoryGrowthData[category_name],
    CategoryGrowthData[contribution_to_sales_growth_pct],
    ""
)</f>
        <v>2.8500000000000001E-2</v>
      </c>
      <c r="N30" s="15">
        <f>_xlfn.XLOOKUP(
    $R30,
    CategoryReviewData[category_name],
    CategoryReviewData[reviewed_orders],
    ""
)</f>
        <v>743</v>
      </c>
      <c r="O30" s="16">
        <f>_xlfn.XLOOKUP(
    $R30,
    CategoryReviewData[category_name],
    CategoryReviewData[avg_review_score],
    ""
)</f>
        <v>4.08</v>
      </c>
      <c r="P30" s="21">
        <f>_xlfn.XLOOKUP(
    $R30,
    CategoryReviewData[category_name],
    CategoryReviewData[low_review_rate_pct],
    ""
)</f>
        <v>0.1454</v>
      </c>
      <c r="Q30" s="21">
        <f>_xlfn.XLOOKUP(
    $R30,
    CategoryReviewData[category_name],
    CategoryReviewData[high_review_rate_pct],
    ""
)</f>
        <v>0.76849999999999996</v>
      </c>
      <c r="R30" s="1" t="s">
        <v>61</v>
      </c>
    </row>
    <row r="31" spans="1:18" x14ac:dyDescent="0.35">
      <c r="A31" s="2" t="str">
        <f>_xlfn.XLOOKUP(
    $R31,
    CategoryPerformanceData[category_name],
    CategoryPerformanceData[display_category],
    ""
)</f>
        <v>Luggage Accessories</v>
      </c>
      <c r="B31" s="15">
        <f>_xlfn.XLOOKUP(
    $R31,
    CategoryPerformanceData[category_name],
    CategoryPerformanceData[completed_orders],
    ""
)</f>
        <v>1019</v>
      </c>
      <c r="C31" s="15">
        <f>_xlfn.XLOOKUP(
    $R31,
    CategoryPerformanceData[category_name],
    CategoryPerformanceData[items_sold],
    ""
)</f>
        <v>1077</v>
      </c>
      <c r="D31" s="15">
        <f>_xlfn.XLOOKUP(
    $R31,
    CategoryPerformanceData[category_name],
    CategoryPerformanceData[products_sold],
    ""
)</f>
        <v>346</v>
      </c>
      <c r="E31" s="16">
        <f>_xlfn.XLOOKUP(
    $R31,
    CategoryPerformanceData[category_name],
    CategoryPerformanceData[item_sales_value],
    ""
)</f>
        <v>138701.63</v>
      </c>
      <c r="F31" s="17">
        <f>_xlfn.XLOOKUP(
    $R31,
    CategoryPerformanceData[category_name],
    CategoryPerformanceData[item_sales_value_share_pct],
    ""
)</f>
        <v>1.0500000000000001E-2</v>
      </c>
      <c r="G31" s="16">
        <f>_xlfn.XLOOKUP(
    $R31,
    CategoryPerformanceData[category_name],
    CategoryPerformanceData[avg_item_price],
    ""
)</f>
        <v>128.79</v>
      </c>
      <c r="H31" s="18">
        <f>_xlfn.XLOOKUP(
    $R31,
    CategoryGrowthData[category_name],
    CategoryGrowthData[item_sales_value_2017],
    ""
)</f>
        <v>50692.62</v>
      </c>
      <c r="I31" s="16">
        <f>_xlfn.XLOOKUP(
    $R31,
    CategoryGrowthData[category_name],
    CategoryGrowthData[item_sales_value_2018],
    ""
)</f>
        <v>63612.93</v>
      </c>
      <c r="J31" s="16">
        <f>_xlfn.XLOOKUP(
    $R31,
    CategoryGrowthData[category_name],
    CategoryGrowthData[item_sales_value_change],
    ""
)</f>
        <v>12920.31</v>
      </c>
      <c r="K31" s="19">
        <f>_xlfn.LET(
    _xlpm.cat, $R31,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0.25489999999999996</v>
      </c>
      <c r="L31" s="20">
        <f>_xlfn.XLOOKUP(
    $R31,
    CategoryGrowthData[category_name],
    CategoryGrowthData[marketplace_share_change_pp],
    ""
)</f>
        <v>-0.81</v>
      </c>
      <c r="M31" s="19">
        <f>_xlfn.XLOOKUP(
    $R31,
    CategoryGrowthData[category_name],
    CategoryGrowthData[contribution_to_sales_growth_pct],
    ""
)</f>
        <v>3.0999999999999999E-3</v>
      </c>
      <c r="N31" s="15">
        <f>_xlfn.XLOOKUP(
    $R31,
    CategoryReviewData[category_name],
    CategoryReviewData[reviewed_orders],
    ""
)</f>
        <v>1030</v>
      </c>
      <c r="O31" s="16">
        <f>_xlfn.XLOOKUP(
    $R31,
    CategoryReviewData[category_name],
    CategoryReviewData[avg_review_score],
    ""
)</f>
        <v>4.33</v>
      </c>
      <c r="P31" s="21">
        <f>_xlfn.XLOOKUP(
    $R31,
    CategoryReviewData[category_name],
    CategoryReviewData[low_review_rate_pct],
    ""
)</f>
        <v>9.2200000000000004E-2</v>
      </c>
      <c r="Q31" s="21">
        <f>_xlfn.XLOOKUP(
    $R31,
    CategoryReviewData[category_name],
    CategoryReviewData[high_review_rate_pct],
    ""
)</f>
        <v>0.83979999999999999</v>
      </c>
      <c r="R31" s="1" t="s">
        <v>62</v>
      </c>
    </row>
    <row r="32" spans="1:18" x14ac:dyDescent="0.35">
      <c r="A32" s="2" t="str">
        <f>_xlfn.XLOOKUP(
    $R32,
    CategoryPerformanceData[category_name],
    CategoryPerformanceData[display_category],
    ""
)</f>
        <v>Home Appliances 2</v>
      </c>
      <c r="B32" s="15">
        <f>_xlfn.XLOOKUP(
    $R32,
    CategoryPerformanceData[category_name],
    CategoryPerformanceData[completed_orders],
    ""
)</f>
        <v>227</v>
      </c>
      <c r="C32" s="15">
        <f>_xlfn.XLOOKUP(
    $R32,
    CategoryPerformanceData[category_name],
    CategoryPerformanceData[items_sold],
    ""
)</f>
        <v>231</v>
      </c>
      <c r="D32" s="15">
        <f>_xlfn.XLOOKUP(
    $R32,
    CategoryPerformanceData[category_name],
    CategoryPerformanceData[products_sold],
    ""
)</f>
        <v>88</v>
      </c>
      <c r="E32" s="16">
        <f>_xlfn.XLOOKUP(
    $R32,
    CategoryPerformanceData[category_name],
    CategoryPerformanceData[item_sales_value],
    ""
)</f>
        <v>107953.95</v>
      </c>
      <c r="F32" s="17">
        <f>_xlfn.XLOOKUP(
    $R32,
    CategoryPerformanceData[category_name],
    CategoryPerformanceData[item_sales_value_share_pct],
    ""
)</f>
        <v>8.199999999999999E-3</v>
      </c>
      <c r="G32" s="16">
        <f>_xlfn.XLOOKUP(
    $R32,
    CategoryPerformanceData[category_name],
    CategoryPerformanceData[avg_item_price],
    ""
)</f>
        <v>467.33</v>
      </c>
      <c r="H32" s="18">
        <f>_xlfn.XLOOKUP(
    $R32,
    CategoryGrowthData[category_name],
    CategoryGrowthData[item_sales_value_2017],
    ""
)</f>
        <v>10473.93</v>
      </c>
      <c r="I32" s="16">
        <f>_xlfn.XLOOKUP(
    $R32,
    CategoryGrowthData[category_name],
    CategoryGrowthData[item_sales_value_2018],
    ""
)</f>
        <v>86902.86</v>
      </c>
      <c r="J32" s="16">
        <f>_xlfn.XLOOKUP(
    $R32,
    CategoryGrowthData[category_name],
    CategoryGrowthData[item_sales_value_change],
    ""
)</f>
        <v>76428.929999999993</v>
      </c>
      <c r="K32" s="19">
        <f>_xlfn.LET(
    _xlpm.cat, $R32,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7.2971000000000004</v>
      </c>
      <c r="L32" s="20">
        <f>_xlfn.XLOOKUP(
    $R32,
    CategoryGrowthData[category_name],
    CategoryGrowthData[marketplace_share_change_pp],
    ""
)</f>
        <v>0.85</v>
      </c>
      <c r="M32" s="19">
        <f>_xlfn.XLOOKUP(
    $R32,
    CategoryGrowthData[category_name],
    CategoryGrowthData[contribution_to_sales_growth_pct],
    ""
)</f>
        <v>1.8100000000000002E-2</v>
      </c>
      <c r="N32" s="15">
        <f>_xlfn.XLOOKUP(
    $R32,
    CategoryReviewData[category_name],
    CategoryReviewData[reviewed_orders],
    ""
)</f>
        <v>232</v>
      </c>
      <c r="O32" s="16">
        <f>_xlfn.XLOOKUP(
    $R32,
    CategoryReviewData[category_name],
    CategoryReviewData[avg_review_score],
    ""
)</f>
        <v>4.13</v>
      </c>
      <c r="P32" s="21">
        <f>_xlfn.XLOOKUP(
    $R32,
    CategoryReviewData[category_name],
    CategoryReviewData[low_review_rate_pct],
    ""
)</f>
        <v>0.1293</v>
      </c>
      <c r="Q32" s="21">
        <f>_xlfn.XLOOKUP(
    $R32,
    CategoryReviewData[category_name],
    CategoryReviewData[high_review_rate_pct],
    ""
)</f>
        <v>0.7974</v>
      </c>
      <c r="R32" s="1" t="s">
        <v>63</v>
      </c>
    </row>
    <row r="33" spans="1:18" x14ac:dyDescent="0.35">
      <c r="A33" s="2" t="str">
        <f>_xlfn.XLOOKUP(
    $R33,
    CategoryPerformanceData[category_name],
    CategoryPerformanceData[display_category],
    ""
)</f>
        <v>Home Construction</v>
      </c>
      <c r="B33" s="15">
        <f>_xlfn.XLOOKUP(
    $R33,
    CategoryPerformanceData[category_name],
    CategoryPerformanceData[completed_orders],
    ""
)</f>
        <v>483</v>
      </c>
      <c r="C33" s="15">
        <f>_xlfn.XLOOKUP(
    $R33,
    CategoryPerformanceData[category_name],
    CategoryPerformanceData[items_sold],
    ""
)</f>
        <v>596</v>
      </c>
      <c r="D33" s="15">
        <f>_xlfn.XLOOKUP(
    $R33,
    CategoryPerformanceData[category_name],
    CategoryPerformanceData[products_sold],
    ""
)</f>
        <v>221</v>
      </c>
      <c r="E33" s="16">
        <f>_xlfn.XLOOKUP(
    $R33,
    CategoryPerformanceData[category_name],
    CategoryPerformanceData[item_sales_value],
    ""
)</f>
        <v>81407.570000000007</v>
      </c>
      <c r="F33" s="17">
        <f>_xlfn.XLOOKUP(
    $R33,
    CategoryPerformanceData[category_name],
    CategoryPerformanceData[item_sales_value_share_pct],
    ""
)</f>
        <v>6.1999999999999998E-3</v>
      </c>
      <c r="G33" s="16">
        <f>_xlfn.XLOOKUP(
    $R33,
    CategoryPerformanceData[category_name],
    CategoryPerformanceData[avg_item_price],
    ""
)</f>
        <v>136.59</v>
      </c>
      <c r="H33" s="18">
        <f>_xlfn.XLOOKUP(
    $R33,
    CategoryGrowthData[category_name],
    CategoryGrowthData[item_sales_value_2017],
    ""
)</f>
        <v>6721.45</v>
      </c>
      <c r="I33" s="16">
        <f>_xlfn.XLOOKUP(
    $R33,
    CategoryGrowthData[category_name],
    CategoryGrowthData[item_sales_value_2018],
    ""
)</f>
        <v>57665.120000000003</v>
      </c>
      <c r="J33" s="16">
        <f>_xlfn.XLOOKUP(
    $R33,
    CategoryGrowthData[category_name],
    CategoryGrowthData[item_sales_value_change],
    ""
)</f>
        <v>50943.67</v>
      </c>
      <c r="K33" s="19">
        <f>_xlfn.LET(
    _xlpm.cat, $R33,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7.5792999999999999</v>
      </c>
      <c r="L33" s="20">
        <f>_xlfn.XLOOKUP(
    $R33,
    CategoryGrowthData[category_name],
    CategoryGrowthData[marketplace_share_change_pp],
    ""
)</f>
        <v>0.56999999999999995</v>
      </c>
      <c r="M33" s="19">
        <f>_xlfn.XLOOKUP(
    $R33,
    CategoryGrowthData[category_name],
    CategoryGrowthData[contribution_to_sales_growth_pct],
    ""
)</f>
        <v>1.21E-2</v>
      </c>
      <c r="N33" s="15">
        <f>_xlfn.XLOOKUP(
    $R33,
    CategoryReviewData[category_name],
    CategoryReviewData[reviewed_orders],
    ""
)</f>
        <v>487</v>
      </c>
      <c r="O33" s="16">
        <f>_xlfn.XLOOKUP(
    $R33,
    CategoryReviewData[category_name],
    CategoryReviewData[avg_review_score],
    ""
)</f>
        <v>3.97</v>
      </c>
      <c r="P33" s="21">
        <f>_xlfn.XLOOKUP(
    $R33,
    CategoryReviewData[category_name],
    CategoryReviewData[low_review_rate_pct],
    ""
)</f>
        <v>0.17660000000000001</v>
      </c>
      <c r="Q33" s="21">
        <f>_xlfn.XLOOKUP(
    $R33,
    CategoryReviewData[category_name],
    CategoryReviewData[high_review_rate_pct],
    ""
)</f>
        <v>0.74329999999999996</v>
      </c>
      <c r="R33" s="1" t="s">
        <v>64</v>
      </c>
    </row>
    <row r="34" spans="1:18" x14ac:dyDescent="0.35">
      <c r="A34" s="2" t="str">
        <f>_xlfn.XLOOKUP(
    $R34,
    CategoryPerformanceData[category_name],
    CategoryPerformanceData[display_category],
    ""
)</f>
        <v>Home Appliances</v>
      </c>
      <c r="B34" s="15">
        <f>_xlfn.XLOOKUP(
    $R34,
    CategoryPerformanceData[category_name],
    CategoryPerformanceData[completed_orders],
    ""
)</f>
        <v>747</v>
      </c>
      <c r="C34" s="15">
        <f>_xlfn.XLOOKUP(
    $R34,
    CategoryPerformanceData[category_name],
    CategoryPerformanceData[items_sold],
    ""
)</f>
        <v>754</v>
      </c>
      <c r="D34" s="15">
        <f>_xlfn.XLOOKUP(
    $R34,
    CategoryPerformanceData[category_name],
    CategoryPerformanceData[products_sold],
    ""
)</f>
        <v>364</v>
      </c>
      <c r="E34" s="16">
        <f>_xlfn.XLOOKUP(
    $R34,
    CategoryPerformanceData[category_name],
    CategoryPerformanceData[item_sales_value],
    ""
)</f>
        <v>78832.479999999996</v>
      </c>
      <c r="F34" s="17">
        <f>_xlfn.XLOOKUP(
    $R34,
    CategoryPerformanceData[category_name],
    CategoryPerformanceData[item_sales_value_share_pct],
    ""
)</f>
        <v>6.0000000000000001E-3</v>
      </c>
      <c r="G34" s="16">
        <f>_xlfn.XLOOKUP(
    $R34,
    CategoryPerformanceData[category_name],
    CategoryPerformanceData[avg_item_price],
    ""
)</f>
        <v>104.55</v>
      </c>
      <c r="H34" s="18">
        <f>_xlfn.XLOOKUP(
    $R34,
    CategoryGrowthData[category_name],
    CategoryGrowthData[item_sales_value_2017],
    ""
)</f>
        <v>13566.92</v>
      </c>
      <c r="I34" s="16">
        <f>_xlfn.XLOOKUP(
    $R34,
    CategoryGrowthData[category_name],
    CategoryGrowthData[item_sales_value_2018],
    ""
)</f>
        <v>55760.75</v>
      </c>
      <c r="J34" s="16">
        <f>_xlfn.XLOOKUP(
    $R34,
    CategoryGrowthData[category_name],
    CategoryGrowthData[item_sales_value_change],
    ""
)</f>
        <v>42193.83</v>
      </c>
      <c r="K34" s="19">
        <f>_xlfn.LET(
    _xlpm.cat, $R34,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3.1101000000000001</v>
      </c>
      <c r="L34" s="20">
        <f>_xlfn.XLOOKUP(
    $R34,
    CategoryGrowthData[category_name],
    CategoryGrowthData[marketplace_share_change_pp],
    ""
)</f>
        <v>0.32</v>
      </c>
      <c r="M34" s="19">
        <f>_xlfn.XLOOKUP(
    $R34,
    CategoryGrowthData[category_name],
    CategoryGrowthData[contribution_to_sales_growth_pct],
    ""
)</f>
        <v>0.01</v>
      </c>
      <c r="N34" s="15">
        <f>_xlfn.XLOOKUP(
    $R34,
    CategoryReviewData[category_name],
    CategoryReviewData[reviewed_orders],
    ""
)</f>
        <v>761</v>
      </c>
      <c r="O34" s="16">
        <f>_xlfn.XLOOKUP(
    $R34,
    CategoryReviewData[category_name],
    CategoryReviewData[avg_review_score],
    ""
)</f>
        <v>4.16</v>
      </c>
      <c r="P34" s="21">
        <f>_xlfn.XLOOKUP(
    $R34,
    CategoryReviewData[category_name],
    CategoryReviewData[low_review_rate_pct],
    ""
)</f>
        <v>0.12480000000000001</v>
      </c>
      <c r="Q34" s="21">
        <f>_xlfn.XLOOKUP(
    $R34,
    CategoryReviewData[category_name],
    CategoryReviewData[high_review_rate_pct],
    ""
)</f>
        <v>0.79370000000000007</v>
      </c>
      <c r="R34" s="1" t="s">
        <v>65</v>
      </c>
    </row>
    <row r="35" spans="1:18" x14ac:dyDescent="0.35">
      <c r="A35" s="2" t="str">
        <f>_xlfn.XLOOKUP(
    $R35,
    CategoryPerformanceData[category_name],
    CategoryPerformanceData[display_category],
    ""
)</f>
        <v>Agro Industry And Commerce</v>
      </c>
      <c r="B35" s="15">
        <f>_xlfn.XLOOKUP(
    $R35,
    CategoryPerformanceData[category_name],
    CategoryPerformanceData[completed_orders],
    ""
)</f>
        <v>177</v>
      </c>
      <c r="C35" s="15">
        <f>_xlfn.XLOOKUP(
    $R35,
    CategoryPerformanceData[category_name],
    CategoryPerformanceData[items_sold],
    ""
)</f>
        <v>206</v>
      </c>
      <c r="D35" s="15">
        <f>_xlfn.XLOOKUP(
    $R35,
    CategoryPerformanceData[category_name],
    CategoryPerformanceData[products_sold],
    ""
)</f>
        <v>71</v>
      </c>
      <c r="E35" s="16">
        <f>_xlfn.XLOOKUP(
    $R35,
    CategoryPerformanceData[category_name],
    CategoryPerformanceData[item_sales_value],
    ""
)</f>
        <v>70566.100000000006</v>
      </c>
      <c r="F35" s="17">
        <f>_xlfn.XLOOKUP(
    $R35,
    CategoryPerformanceData[category_name],
    CategoryPerformanceData[item_sales_value_share_pct],
    ""
)</f>
        <v>5.3E-3</v>
      </c>
      <c r="G35" s="16">
        <f>_xlfn.XLOOKUP(
    $R35,
    CategoryPerformanceData[category_name],
    CategoryPerformanceData[avg_item_price],
    ""
)</f>
        <v>342.55</v>
      </c>
      <c r="H35" s="18">
        <f>_xlfn.XLOOKUP(
    $R35,
    CategoryGrowthData[category_name],
    CategoryGrowthData[item_sales_value_2017],
    ""
)</f>
        <v>4610.74</v>
      </c>
      <c r="I35" s="16">
        <f>_xlfn.XLOOKUP(
    $R35,
    CategoryGrowthData[category_name],
    CategoryGrowthData[item_sales_value_2018],
    ""
)</f>
        <v>41386.9</v>
      </c>
      <c r="J35" s="16">
        <f>_xlfn.XLOOKUP(
    $R35,
    CategoryGrowthData[category_name],
    CategoryGrowthData[item_sales_value_change],
    ""
)</f>
        <v>36776.160000000003</v>
      </c>
      <c r="K35" s="19">
        <f>_xlfn.LET(
    _xlpm.cat, $R35,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7.9762000000000004</v>
      </c>
      <c r="L35" s="20">
        <f>_xlfn.XLOOKUP(
    $R35,
    CategoryGrowthData[category_name],
    CategoryGrowthData[marketplace_share_change_pp],
    ""
)</f>
        <v>0.42</v>
      </c>
      <c r="M35" s="19">
        <f>_xlfn.XLOOKUP(
    $R35,
    CategoryGrowthData[category_name],
    CategoryGrowthData[contribution_to_sales_growth_pct],
    ""
)</f>
        <v>8.6999999999999994E-3</v>
      </c>
      <c r="N35" s="15">
        <f>_xlfn.XLOOKUP(
    $R35,
    CategoryReviewData[category_name],
    CategoryReviewData[reviewed_orders],
    ""
)</f>
        <v>182</v>
      </c>
      <c r="O35" s="16">
        <f>_xlfn.XLOOKUP(
    $R35,
    CategoryReviewData[category_name],
    CategoryReviewData[avg_review_score],
    ""
)</f>
        <v>4.0199999999999996</v>
      </c>
      <c r="P35" s="21">
        <f>_xlfn.XLOOKUP(
    $R35,
    CategoryReviewData[category_name],
    CategoryReviewData[low_review_rate_pct],
    ""
)</f>
        <v>0.1484</v>
      </c>
      <c r="Q35" s="21">
        <f>_xlfn.XLOOKUP(
    $R35,
    CategoryReviewData[category_name],
    CategoryReviewData[high_review_rate_pct],
    ""
)</f>
        <v>0.7802</v>
      </c>
      <c r="R35" s="1" t="s">
        <v>66</v>
      </c>
    </row>
    <row r="36" spans="1:18" x14ac:dyDescent="0.35">
      <c r="A36" s="2" t="str">
        <f>_xlfn.XLOOKUP(
    $R36,
    CategoryPerformanceData[category_name],
    CategoryPerformanceData[display_category],
    ""
)</f>
        <v>Furniture Living Room</v>
      </c>
      <c r="B36" s="15">
        <f>_xlfn.XLOOKUP(
    $R36,
    CategoryPerformanceData[category_name],
    CategoryPerformanceData[completed_orders],
    ""
)</f>
        <v>414</v>
      </c>
      <c r="C36" s="15">
        <f>_xlfn.XLOOKUP(
    $R36,
    CategoryPerformanceData[category_name],
    CategoryPerformanceData[items_sold],
    ""
)</f>
        <v>495</v>
      </c>
      <c r="D36" s="15">
        <f>_xlfn.XLOOKUP(
    $R36,
    CategoryPerformanceData[category_name],
    CategoryPerformanceData[products_sold],
    ""
)</f>
        <v>152</v>
      </c>
      <c r="E36" s="16">
        <f>_xlfn.XLOOKUP(
    $R36,
    CategoryPerformanceData[category_name],
    CategoryPerformanceData[item_sales_value],
    ""
)</f>
        <v>67350.7</v>
      </c>
      <c r="F36" s="17">
        <f>_xlfn.XLOOKUP(
    $R36,
    CategoryPerformanceData[category_name],
    CategoryPerformanceData[item_sales_value_share_pct],
    ""
)</f>
        <v>5.1000000000000004E-3</v>
      </c>
      <c r="G36" s="16">
        <f>_xlfn.XLOOKUP(
    $R36,
    CategoryPerformanceData[category_name],
    CategoryPerformanceData[avg_item_price],
    ""
)</f>
        <v>136.06</v>
      </c>
      <c r="H36" s="18">
        <f>_xlfn.XLOOKUP(
    $R36,
    CategoryGrowthData[category_name],
    CategoryGrowthData[item_sales_value_2017],
    ""
)</f>
        <v>22545.82</v>
      </c>
      <c r="I36" s="16">
        <f>_xlfn.XLOOKUP(
    $R36,
    CategoryGrowthData[category_name],
    CategoryGrowthData[item_sales_value_2018],
    ""
)</f>
        <v>33467.26</v>
      </c>
      <c r="J36" s="16">
        <f>_xlfn.XLOOKUP(
    $R36,
    CategoryGrowthData[category_name],
    CategoryGrowthData[item_sales_value_change],
    ""
)</f>
        <v>10921.44</v>
      </c>
      <c r="K36" s="19">
        <f>_xlfn.LET(
    _xlpm.cat, $R36,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0.4844</v>
      </c>
      <c r="L36" s="20">
        <f>_xlfn.XLOOKUP(
    $R36,
    CategoryGrowthData[category_name],
    CategoryGrowthData[marketplace_share_change_pp],
    ""
)</f>
        <v>-0.28999999999999998</v>
      </c>
      <c r="M36" s="19">
        <f>_xlfn.XLOOKUP(
    $R36,
    CategoryGrowthData[category_name],
    CategoryGrowthData[contribution_to_sales_growth_pct],
    ""
)</f>
        <v>2.5999999999999999E-3</v>
      </c>
      <c r="N36" s="15">
        <f>_xlfn.XLOOKUP(
    $R36,
    CategoryReviewData[category_name],
    CategoryReviewData[reviewed_orders],
    ""
)</f>
        <v>417</v>
      </c>
      <c r="O36" s="16">
        <f>_xlfn.XLOOKUP(
    $R36,
    CategoryReviewData[category_name],
    CategoryReviewData[avg_review_score],
    ""
)</f>
        <v>4.03</v>
      </c>
      <c r="P36" s="21">
        <f>_xlfn.XLOOKUP(
    $R36,
    CategoryReviewData[category_name],
    CategoryReviewData[low_review_rate_pct],
    ""
)</f>
        <v>0.1535</v>
      </c>
      <c r="Q36" s="21">
        <f>_xlfn.XLOOKUP(
    $R36,
    CategoryReviewData[category_name],
    CategoryReviewData[high_review_rate_pct],
    ""
)</f>
        <v>0.74580000000000002</v>
      </c>
      <c r="R36" s="1" t="s">
        <v>67</v>
      </c>
    </row>
    <row r="37" spans="1:18" x14ac:dyDescent="0.35">
      <c r="A37" s="2" t="str">
        <f>_xlfn.XLOOKUP(
    $R37,
    CategoryPerformanceData[category_name],
    CategoryPerformanceData[display_category],
    ""
)</f>
        <v>Home Confort</v>
      </c>
      <c r="B37" s="15">
        <f>_xlfn.XLOOKUP(
    $R37,
    CategoryPerformanceData[category_name],
    CategoryPerformanceData[completed_orders],
    ""
)</f>
        <v>392</v>
      </c>
      <c r="C37" s="15">
        <f>_xlfn.XLOOKUP(
    $R37,
    CategoryPerformanceData[category_name],
    CategoryPerformanceData[items_sold],
    ""
)</f>
        <v>429</v>
      </c>
      <c r="D37" s="15">
        <f>_xlfn.XLOOKUP(
    $R37,
    CategoryPerformanceData[category_name],
    CategoryPerformanceData[products_sold],
    ""
)</f>
        <v>111</v>
      </c>
      <c r="E37" s="16">
        <f>_xlfn.XLOOKUP(
    $R37,
    CategoryPerformanceData[category_name],
    CategoryPerformanceData[item_sales_value],
    ""
)</f>
        <v>58008.45</v>
      </c>
      <c r="F37" s="17">
        <f>_xlfn.XLOOKUP(
    $R37,
    CategoryPerformanceData[category_name],
    CategoryPerformanceData[item_sales_value_share_pct],
    ""
)</f>
        <v>4.4000000000000003E-3</v>
      </c>
      <c r="G37" s="16">
        <f>_xlfn.XLOOKUP(
    $R37,
    CategoryPerformanceData[category_name],
    CategoryPerformanceData[avg_item_price],
    ""
)</f>
        <v>135.22</v>
      </c>
      <c r="H37" s="18">
        <f>_xlfn.XLOOKUP(
    $R37,
    CategoryGrowthData[category_name],
    CategoryGrowthData[item_sales_value_2017],
    ""
)</f>
        <v>21445.47</v>
      </c>
      <c r="I37" s="16">
        <f>_xlfn.XLOOKUP(
    $R37,
    CategoryGrowthData[category_name],
    CategoryGrowthData[item_sales_value_2018],
    ""
)</f>
        <v>20737.650000000001</v>
      </c>
      <c r="J37" s="16">
        <f>_xlfn.XLOOKUP(
    $R37,
    CategoryGrowthData[category_name],
    CategoryGrowthData[item_sales_value_change],
    ""
)</f>
        <v>-707.82</v>
      </c>
      <c r="K37" s="19">
        <f>_xlfn.LET(
    _xlpm.cat, $R37,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-3.3000000000000002E-2</v>
      </c>
      <c r="L37" s="20">
        <f>_xlfn.XLOOKUP(
    $R37,
    CategoryGrowthData[category_name],
    CategoryGrowthData[marketplace_share_change_pp],
    ""
)</f>
        <v>-0.43</v>
      </c>
      <c r="M37" s="19">
        <f>_xlfn.XLOOKUP(
    $R37,
    CategoryGrowthData[category_name],
    CategoryGrowthData[contribution_to_sales_growth_pct],
    ""
)</f>
        <v>-2.0000000000000001E-4</v>
      </c>
      <c r="N37" s="15">
        <f>_xlfn.XLOOKUP(
    $R37,
    CategoryReviewData[category_name],
    CategoryReviewData[reviewed_orders],
    ""
)</f>
        <v>395</v>
      </c>
      <c r="O37" s="16">
        <f>_xlfn.XLOOKUP(
    $R37,
    CategoryReviewData[category_name],
    CategoryReviewData[avg_review_score],
    ""
)</f>
        <v>3.86</v>
      </c>
      <c r="P37" s="21">
        <f>_xlfn.XLOOKUP(
    $R37,
    CategoryReviewData[category_name],
    CategoryReviewData[low_review_rate_pct],
    ""
)</f>
        <v>0.19239999999999999</v>
      </c>
      <c r="Q37" s="21">
        <f>_xlfn.XLOOKUP(
    $R37,
    CategoryReviewData[category_name],
    CategoryReviewData[high_review_rate_pct],
    ""
)</f>
        <v>0.67590000000000006</v>
      </c>
      <c r="R37" s="1" t="s">
        <v>68</v>
      </c>
    </row>
    <row r="38" spans="1:18" x14ac:dyDescent="0.35">
      <c r="A38" s="2" t="str">
        <f>_xlfn.XLOOKUP(
    $R38,
    CategoryPerformanceData[category_name],
    CategoryPerformanceData[display_category],
    ""
)</f>
        <v>Fixed Telephony</v>
      </c>
      <c r="B38" s="15">
        <f>_xlfn.XLOOKUP(
    $R38,
    CategoryPerformanceData[category_name],
    CategoryPerformanceData[completed_orders],
    ""
)</f>
        <v>212</v>
      </c>
      <c r="C38" s="15">
        <f>_xlfn.XLOOKUP(
    $R38,
    CategoryPerformanceData[category_name],
    CategoryPerformanceData[items_sold],
    ""
)</f>
        <v>255</v>
      </c>
      <c r="D38" s="15">
        <f>_xlfn.XLOOKUP(
    $R38,
    CategoryPerformanceData[category_name],
    CategoryPerformanceData[products_sold],
    ""
)</f>
        <v>113</v>
      </c>
      <c r="E38" s="16">
        <f>_xlfn.XLOOKUP(
    $R38,
    CategoryPerformanceData[category_name],
    CategoryPerformanceData[item_sales_value],
    ""
)</f>
        <v>55315.21</v>
      </c>
      <c r="F38" s="17">
        <f>_xlfn.XLOOKUP(
    $R38,
    CategoryPerformanceData[category_name],
    CategoryPerformanceData[item_sales_value_share_pct],
    ""
)</f>
        <v>4.1999999999999997E-3</v>
      </c>
      <c r="G38" s="16">
        <f>_xlfn.XLOOKUP(
    $R38,
    CategoryPerformanceData[category_name],
    CategoryPerformanceData[avg_item_price],
    ""
)</f>
        <v>216.92</v>
      </c>
      <c r="H38" s="18">
        <f>_xlfn.XLOOKUP(
    $R38,
    CategoryGrowthData[category_name],
    CategoryGrowthData[item_sales_value_2017],
    ""
)</f>
        <v>8217.4</v>
      </c>
      <c r="I38" s="16">
        <f>_xlfn.XLOOKUP(
    $R38,
    CategoryGrowthData[category_name],
    CategoryGrowthData[item_sales_value_2018],
    ""
)</f>
        <v>27005.39</v>
      </c>
      <c r="J38" s="16">
        <f>_xlfn.XLOOKUP(
    $R38,
    CategoryGrowthData[category_name],
    CategoryGrowthData[item_sales_value_change],
    ""
)</f>
        <v>18787.990000000002</v>
      </c>
      <c r="K38" s="19">
        <f>_xlfn.LET(
    _xlpm.cat, $R38,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2.2864</v>
      </c>
      <c r="L38" s="20">
        <f>_xlfn.XLOOKUP(
    $R38,
    CategoryGrowthData[category_name],
    CategoryGrowthData[marketplace_share_change_pp],
    ""
)</f>
        <v>0.1</v>
      </c>
      <c r="M38" s="19">
        <f>_xlfn.XLOOKUP(
    $R38,
    CategoryGrowthData[category_name],
    CategoryGrowthData[contribution_to_sales_growth_pct],
    ""
)</f>
        <v>4.4000000000000003E-3</v>
      </c>
      <c r="N38" s="15">
        <f>_xlfn.XLOOKUP(
    $R38,
    CategoryReviewData[category_name],
    CategoryReviewData[reviewed_orders],
    ""
)</f>
        <v>214</v>
      </c>
      <c r="O38" s="16">
        <f>_xlfn.XLOOKUP(
    $R38,
    CategoryReviewData[category_name],
    CategoryReviewData[avg_review_score],
    ""
)</f>
        <v>3.9</v>
      </c>
      <c r="P38" s="21">
        <f>_xlfn.XLOOKUP(
    $R38,
    CategoryReviewData[category_name],
    CategoryReviewData[low_review_rate_pct],
    ""
)</f>
        <v>0.18690000000000001</v>
      </c>
      <c r="Q38" s="21">
        <f>_xlfn.XLOOKUP(
    $R38,
    CategoryReviewData[category_name],
    CategoryReviewData[high_review_rate_pct],
    ""
)</f>
        <v>0.72900000000000009</v>
      </c>
      <c r="R38" s="1" t="s">
        <v>69</v>
      </c>
    </row>
    <row r="39" spans="1:18" x14ac:dyDescent="0.35">
      <c r="A39" s="2" t="str">
        <f>_xlfn.XLOOKUP(
    $R39,
    CategoryPerformanceData[category_name],
    CategoryPerformanceData[display_category],
    ""
)</f>
        <v>Air Conditioning</v>
      </c>
      <c r="B39" s="15">
        <f>_xlfn.XLOOKUP(
    $R39,
    CategoryPerformanceData[category_name],
    CategoryPerformanceData[completed_orders],
    ""
)</f>
        <v>246</v>
      </c>
      <c r="C39" s="15">
        <f>_xlfn.XLOOKUP(
    $R39,
    CategoryPerformanceData[category_name],
    CategoryPerformanceData[items_sold],
    ""
)</f>
        <v>289</v>
      </c>
      <c r="D39" s="15">
        <f>_xlfn.XLOOKUP(
    $R39,
    CategoryPerformanceData[category_name],
    CategoryPerformanceData[products_sold],
    ""
)</f>
        <v>121</v>
      </c>
      <c r="E39" s="16">
        <f>_xlfn.XLOOKUP(
    $R39,
    CategoryPerformanceData[category_name],
    CategoryPerformanceData[item_sales_value],
    ""
)</f>
        <v>53323.56</v>
      </c>
      <c r="F39" s="17">
        <f>_xlfn.XLOOKUP(
    $R39,
    CategoryPerformanceData[category_name],
    CategoryPerformanceData[item_sales_value_share_pct],
    ""
)</f>
        <v>4.0000000000000001E-3</v>
      </c>
      <c r="G39" s="16">
        <f>_xlfn.XLOOKUP(
    $R39,
    CategoryPerformanceData[category_name],
    CategoryPerformanceData[avg_item_price],
    ""
)</f>
        <v>184.51</v>
      </c>
      <c r="H39" s="18">
        <f>_xlfn.XLOOKUP(
    $R39,
    CategoryGrowthData[category_name],
    CategoryGrowthData[item_sales_value_2017],
    ""
)</f>
        <v>18332.22</v>
      </c>
      <c r="I39" s="16">
        <f>_xlfn.XLOOKUP(
    $R39,
    CategoryGrowthData[category_name],
    CategoryGrowthData[item_sales_value_2018],
    ""
)</f>
        <v>24705.06</v>
      </c>
      <c r="J39" s="16">
        <f>_xlfn.XLOOKUP(
    $R39,
    CategoryGrowthData[category_name],
    CategoryGrowthData[item_sales_value_change],
    ""
)</f>
        <v>6372.84</v>
      </c>
      <c r="K39" s="19">
        <f>_xlfn.LET(
    _xlpm.cat, $R39,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0.34759999999999996</v>
      </c>
      <c r="L39" s="20">
        <f>_xlfn.XLOOKUP(
    $R39,
    CategoryGrowthData[category_name],
    CategoryGrowthData[marketplace_share_change_pp],
    ""
)</f>
        <v>-0.27</v>
      </c>
      <c r="M39" s="19">
        <f>_xlfn.XLOOKUP(
    $R39,
    CategoryGrowthData[category_name],
    CategoryGrowthData[contribution_to_sales_growth_pct],
    ""
)</f>
        <v>1.5E-3</v>
      </c>
      <c r="N39" s="15">
        <f>_xlfn.XLOOKUP(
    $R39,
    CategoryReviewData[category_name],
    CategoryReviewData[reviewed_orders],
    ""
)</f>
        <v>249</v>
      </c>
      <c r="O39" s="16">
        <f>_xlfn.XLOOKUP(
    $R39,
    CategoryReviewData[category_name],
    CategoryReviewData[avg_review_score],
    ""
)</f>
        <v>4.03</v>
      </c>
      <c r="P39" s="21">
        <f>_xlfn.XLOOKUP(
    $R39,
    CategoryReviewData[category_name],
    CategoryReviewData[low_review_rate_pct],
    ""
)</f>
        <v>0.16469999999999999</v>
      </c>
      <c r="Q39" s="21">
        <f>_xlfn.XLOOKUP(
    $R39,
    CategoryReviewData[category_name],
    CategoryReviewData[high_review_rate_pct],
    ""
)</f>
        <v>0.75900000000000001</v>
      </c>
      <c r="R39" s="1" t="s">
        <v>70</v>
      </c>
    </row>
    <row r="40" spans="1:18" x14ac:dyDescent="0.35">
      <c r="A40" s="2" t="str">
        <f>_xlfn.XLOOKUP(
    $R40,
    CategoryPerformanceData[category_name],
    CategoryPerformanceData[display_category],
    ""
)</f>
        <v>Audio</v>
      </c>
      <c r="B40" s="15">
        <f>_xlfn.XLOOKUP(
    $R40,
    CategoryPerformanceData[category_name],
    CategoryPerformanceData[completed_orders],
    ""
)</f>
        <v>348</v>
      </c>
      <c r="C40" s="15">
        <f>_xlfn.XLOOKUP(
    $R40,
    CategoryPerformanceData[category_name],
    CategoryPerformanceData[items_sold],
    ""
)</f>
        <v>362</v>
      </c>
      <c r="D40" s="15">
        <f>_xlfn.XLOOKUP(
    $R40,
    CategoryPerformanceData[category_name],
    CategoryPerformanceData[products_sold],
    ""
)</f>
        <v>58</v>
      </c>
      <c r="E40" s="16">
        <f>_xlfn.XLOOKUP(
    $R40,
    CategoryPerformanceData[category_name],
    CategoryPerformanceData[item_sales_value],
    ""
)</f>
        <v>50570.6</v>
      </c>
      <c r="F40" s="17">
        <f>_xlfn.XLOOKUP(
    $R40,
    CategoryPerformanceData[category_name],
    CategoryPerformanceData[item_sales_value_share_pct],
    ""
)</f>
        <v>3.8E-3</v>
      </c>
      <c r="G40" s="16">
        <f>_xlfn.XLOOKUP(
    $R40,
    CategoryPerformanceData[category_name],
    CategoryPerformanceData[avg_item_price],
    ""
)</f>
        <v>139.69999999999999</v>
      </c>
      <c r="H40" s="18">
        <f>_xlfn.XLOOKUP(
    $R40,
    CategoryGrowthData[category_name],
    CategoryGrowthData[item_sales_value_2017],
    ""
)</f>
        <v>7717.34</v>
      </c>
      <c r="I40" s="16">
        <f>_xlfn.XLOOKUP(
    $R40,
    CategoryGrowthData[category_name],
    CategoryGrowthData[item_sales_value_2018],
    ""
)</f>
        <v>32960.94</v>
      </c>
      <c r="J40" s="16">
        <f>_xlfn.XLOOKUP(
    $R40,
    CategoryGrowthData[category_name],
    CategoryGrowthData[item_sales_value_change],
    ""
)</f>
        <v>25243.599999999999</v>
      </c>
      <c r="K40" s="19">
        <f>_xlfn.LET(
    _xlpm.cat, $R40,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3.2710000000000004</v>
      </c>
      <c r="L40" s="20">
        <f>_xlfn.XLOOKUP(
    $R40,
    CategoryGrowthData[category_name],
    CategoryGrowthData[marketplace_share_change_pp],
    ""
)</f>
        <v>0.2</v>
      </c>
      <c r="M40" s="19">
        <f>_xlfn.XLOOKUP(
    $R40,
    CategoryGrowthData[category_name],
    CategoryGrowthData[contribution_to_sales_growth_pct],
    ""
)</f>
        <v>6.0000000000000001E-3</v>
      </c>
      <c r="N40" s="15">
        <f>_xlfn.XLOOKUP(
    $R40,
    CategoryReviewData[category_name],
    CategoryReviewData[reviewed_orders],
    ""
)</f>
        <v>347</v>
      </c>
      <c r="O40" s="16">
        <f>_xlfn.XLOOKUP(
    $R40,
    CategoryReviewData[category_name],
    CategoryReviewData[avg_review_score],
    ""
)</f>
        <v>3.84</v>
      </c>
      <c r="P40" s="21">
        <f>_xlfn.XLOOKUP(
    $R40,
    CategoryReviewData[category_name],
    CategoryReviewData[low_review_rate_pct],
    ""
)</f>
        <v>0.21899999999999997</v>
      </c>
      <c r="Q40" s="21">
        <f>_xlfn.XLOOKUP(
    $R40,
    CategoryReviewData[category_name],
    CategoryReviewData[high_review_rate_pct],
    ""
)</f>
        <v>0.68590000000000007</v>
      </c>
      <c r="R40" s="1" t="s">
        <v>71</v>
      </c>
    </row>
    <row r="41" spans="1:18" x14ac:dyDescent="0.35">
      <c r="A41" s="2" t="str">
        <f>_xlfn.XLOOKUP(
    $R41,
    CategoryPerformanceData[category_name],
    CategoryPerformanceData[display_category],
    ""
)</f>
        <v>Small Appliances Home Oven And Coffee</v>
      </c>
      <c r="B41" s="15">
        <f>_xlfn.XLOOKUP(
    $R41,
    CategoryPerformanceData[category_name],
    CategoryPerformanceData[completed_orders],
    ""
)</f>
        <v>72</v>
      </c>
      <c r="C41" s="15">
        <f>_xlfn.XLOOKUP(
    $R41,
    CategoryPerformanceData[category_name],
    CategoryPerformanceData[items_sold],
    ""
)</f>
        <v>73</v>
      </c>
      <c r="D41" s="15">
        <f>_xlfn.XLOOKUP(
    $R41,
    CategoryPerformanceData[category_name],
    CategoryPerformanceData[products_sold],
    ""
)</f>
        <v>30</v>
      </c>
      <c r="E41" s="16">
        <f>_xlfn.XLOOKUP(
    $R41,
    CategoryPerformanceData[category_name],
    CategoryPerformanceData[item_sales_value],
    ""
)</f>
        <v>46589.56</v>
      </c>
      <c r="F41" s="17">
        <f>_xlfn.XLOOKUP(
    $R41,
    CategoryPerformanceData[category_name],
    CategoryPerformanceData[item_sales_value_share_pct],
    ""
)</f>
        <v>3.4999999999999996E-3</v>
      </c>
      <c r="G41" s="16">
        <f>_xlfn.XLOOKUP(
    $R41,
    CategoryPerformanceData[category_name],
    CategoryPerformanceData[avg_item_price],
    ""
)</f>
        <v>638.21</v>
      </c>
      <c r="H41" s="18">
        <f>_xlfn.XLOOKUP(
    $R41,
    CategoryGrowthData[category_name],
    CategoryGrowthData[item_sales_value_2017],
    ""
)</f>
        <v>93.8</v>
      </c>
      <c r="I41" s="16">
        <f>_xlfn.XLOOKUP(
    $R41,
    CategoryGrowthData[category_name],
    CategoryGrowthData[item_sales_value_2018],
    ""
)</f>
        <v>45854.77</v>
      </c>
      <c r="J41" s="16">
        <f>_xlfn.XLOOKUP(
    $R41,
    CategoryGrowthData[category_name],
    CategoryGrowthData[item_sales_value_change],
    ""
)</f>
        <v>45760.97</v>
      </c>
      <c r="K41" s="19">
        <f>_xlfn.LET(
    _xlpm.cat, $R41,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487.85680000000002</v>
      </c>
      <c r="L41" s="20">
        <f>_xlfn.XLOOKUP(
    $R41,
    CategoryGrowthData[category_name],
    CategoryGrowthData[marketplace_share_change_pp],
    ""
)</f>
        <v>0.63</v>
      </c>
      <c r="M41" s="19">
        <f>_xlfn.XLOOKUP(
    $R41,
    CategoryGrowthData[category_name],
    CategoryGrowthData[contribution_to_sales_growth_pct],
    ""
)</f>
        <v>1.0800000000000001E-2</v>
      </c>
      <c r="N41" s="15">
        <f>_xlfn.XLOOKUP(
    $R41,
    CategoryReviewData[category_name],
    CategoryReviewData[reviewed_orders],
    ""
)</f>
        <v>75</v>
      </c>
      <c r="O41" s="16">
        <f>_xlfn.XLOOKUP(
    $R41,
    CategoryReviewData[category_name],
    CategoryReviewData[avg_review_score],
    ""
)</f>
        <v>4.29</v>
      </c>
      <c r="P41" s="21">
        <f>_xlfn.XLOOKUP(
    $R41,
    CategoryReviewData[category_name],
    CategoryReviewData[low_review_rate_pct],
    ""
)</f>
        <v>0.1067</v>
      </c>
      <c r="Q41" s="21">
        <f>_xlfn.XLOOKUP(
    $R41,
    CategoryReviewData[category_name],
    CategoryReviewData[high_review_rate_pct],
    ""
)</f>
        <v>0.84</v>
      </c>
      <c r="R41" s="1" t="s">
        <v>72</v>
      </c>
    </row>
    <row r="42" spans="1:18" x14ac:dyDescent="0.35">
      <c r="A42" s="2" t="str">
        <f>_xlfn.XLOOKUP(
    $R42,
    CategoryPerformanceData[category_name],
    CategoryPerformanceData[display_category],
    ""
)</f>
        <v>Kitchen Dining Laundry Garden Furniture</v>
      </c>
      <c r="B42" s="15">
        <f>_xlfn.XLOOKUP(
    $R42,
    CategoryPerformanceData[category_name],
    CategoryPerformanceData[completed_orders],
    ""
)</f>
        <v>241</v>
      </c>
      <c r="C42" s="15">
        <f>_xlfn.XLOOKUP(
    $R42,
    CategoryPerformanceData[category_name],
    CategoryPerformanceData[items_sold],
    ""
)</f>
        <v>274</v>
      </c>
      <c r="D42" s="15">
        <f>_xlfn.XLOOKUP(
    $R42,
    CategoryPerformanceData[category_name],
    CategoryPerformanceData[products_sold],
    ""
)</f>
        <v>92</v>
      </c>
      <c r="E42" s="16">
        <f>_xlfn.XLOOKUP(
    $R42,
    CategoryPerformanceData[category_name],
    CategoryPerformanceData[item_sales_value],
    ""
)</f>
        <v>45531.98</v>
      </c>
      <c r="F42" s="17">
        <f>_xlfn.XLOOKUP(
    $R42,
    CategoryPerformanceData[category_name],
    CategoryPerformanceData[item_sales_value_share_pct],
    ""
)</f>
        <v>3.4000000000000002E-3</v>
      </c>
      <c r="G42" s="16">
        <f>_xlfn.XLOOKUP(
    $R42,
    CategoryPerformanceData[category_name],
    CategoryPerformanceData[avg_item_price],
    ""
)</f>
        <v>166.18</v>
      </c>
      <c r="H42" s="18">
        <f>_xlfn.XLOOKUP(
    $R42,
    CategoryGrowthData[category_name],
    CategoryGrowthData[item_sales_value_2017],
    ""
)</f>
        <v>5399.26</v>
      </c>
      <c r="I42" s="16">
        <f>_xlfn.XLOOKUP(
    $R42,
    CategoryGrowthData[category_name],
    CategoryGrowthData[item_sales_value_2018],
    ""
)</f>
        <v>27009.83</v>
      </c>
      <c r="J42" s="16">
        <f>_xlfn.XLOOKUP(
    $R42,
    CategoryGrowthData[category_name],
    CategoryGrowthData[item_sales_value_change],
    ""
)</f>
        <v>21610.57</v>
      </c>
      <c r="K42" s="19">
        <f>_xlfn.LET(
    _xlpm.cat, $R42,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4.0025000000000004</v>
      </c>
      <c r="L42" s="20">
        <f>_xlfn.XLOOKUP(
    $R42,
    CategoryGrowthData[category_name],
    CategoryGrowthData[marketplace_share_change_pp],
    ""
)</f>
        <v>0.19</v>
      </c>
      <c r="M42" s="19">
        <f>_xlfn.XLOOKUP(
    $R42,
    CategoryGrowthData[category_name],
    CategoryGrowthData[contribution_to_sales_growth_pct],
    ""
)</f>
        <v>5.1000000000000004E-3</v>
      </c>
      <c r="N42" s="15">
        <f>_xlfn.XLOOKUP(
    $R42,
    CategoryReviewData[category_name],
    CategoryReviewData[reviewed_orders],
    ""
)</f>
        <v>246</v>
      </c>
      <c r="O42" s="16">
        <f>_xlfn.XLOOKUP(
    $R42,
    CategoryReviewData[category_name],
    CategoryReviewData[avg_review_score],
    ""
)</f>
        <v>4.04</v>
      </c>
      <c r="P42" s="21">
        <f>_xlfn.XLOOKUP(
    $R42,
    CategoryReviewData[category_name],
    CategoryReviewData[low_review_rate_pct],
    ""
)</f>
        <v>0.13819999999999999</v>
      </c>
      <c r="Q42" s="21">
        <f>_xlfn.XLOOKUP(
    $R42,
    CategoryReviewData[category_name],
    CategoryReviewData[high_review_rate_pct],
    ""
)</f>
        <v>0.75609999999999999</v>
      </c>
      <c r="R42" s="1" t="s">
        <v>73</v>
      </c>
    </row>
    <row r="43" spans="1:18" x14ac:dyDescent="0.35">
      <c r="A43" s="2" t="str">
        <f>_xlfn.XLOOKUP(
    $R43,
    CategoryPerformanceData[category_name],
    CategoryPerformanceData[display_category],
    ""
)</f>
        <v>Books General Interest</v>
      </c>
      <c r="B43" s="15">
        <f>_xlfn.XLOOKUP(
    $R43,
    CategoryPerformanceData[category_name],
    CategoryPerformanceData[completed_orders],
    ""
)</f>
        <v>496</v>
      </c>
      <c r="C43" s="15">
        <f>_xlfn.XLOOKUP(
    $R43,
    CategoryPerformanceData[category_name],
    CategoryPerformanceData[items_sold],
    ""
)</f>
        <v>537</v>
      </c>
      <c r="D43" s="15">
        <f>_xlfn.XLOOKUP(
    $R43,
    CategoryPerformanceData[category_name],
    CategoryPerformanceData[products_sold],
    ""
)</f>
        <v>207</v>
      </c>
      <c r="E43" s="16">
        <f>_xlfn.XLOOKUP(
    $R43,
    CategoryPerformanceData[category_name],
    CategoryPerformanceData[item_sales_value],
    ""
)</f>
        <v>45302.15</v>
      </c>
      <c r="F43" s="17">
        <f>_xlfn.XLOOKUP(
    $R43,
    CategoryPerformanceData[category_name],
    CategoryPerformanceData[item_sales_value_share_pct],
    ""
)</f>
        <v>3.4000000000000002E-3</v>
      </c>
      <c r="G43" s="16">
        <f>_xlfn.XLOOKUP(
    $R43,
    CategoryPerformanceData[category_name],
    CategoryPerformanceData[avg_item_price],
    ""
)</f>
        <v>84.36</v>
      </c>
      <c r="H43" s="18">
        <f>_xlfn.XLOOKUP(
    $R43,
    CategoryGrowthData[category_name],
    CategoryGrowthData[item_sales_value_2017],
    ""
)</f>
        <v>11796.09</v>
      </c>
      <c r="I43" s="16">
        <f>_xlfn.XLOOKUP(
    $R43,
    CategoryGrowthData[category_name],
    CategoryGrowthData[item_sales_value_2018],
    ""
)</f>
        <v>26856.15</v>
      </c>
      <c r="J43" s="16">
        <f>_xlfn.XLOOKUP(
    $R43,
    CategoryGrowthData[category_name],
    CategoryGrowthData[item_sales_value_change],
    ""
)</f>
        <v>15060.06</v>
      </c>
      <c r="K43" s="19">
        <f>_xlfn.LET(
    _xlpm.cat, $R43,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1.2766999999999999</v>
      </c>
      <c r="L43" s="20">
        <f>_xlfn.XLOOKUP(
    $R43,
    CategoryGrowthData[category_name],
    CategoryGrowthData[marketplace_share_change_pp],
    ""
)</f>
        <v>-0.02</v>
      </c>
      <c r="M43" s="19">
        <f>_xlfn.XLOOKUP(
    $R43,
    CategoryGrowthData[category_name],
    CategoryGrowthData[contribution_to_sales_growth_pct],
    ""
)</f>
        <v>3.5999999999999999E-3</v>
      </c>
      <c r="N43" s="15">
        <f>_xlfn.XLOOKUP(
    $R43,
    CategoryReviewData[category_name],
    CategoryReviewData[reviewed_orders],
    ""
)</f>
        <v>508</v>
      </c>
      <c r="O43" s="16">
        <f>_xlfn.XLOOKUP(
    $R43,
    CategoryReviewData[category_name],
    CategoryReviewData[avg_review_score],
    ""
)</f>
        <v>4.46</v>
      </c>
      <c r="P43" s="21">
        <f>_xlfn.XLOOKUP(
    $R43,
    CategoryReviewData[category_name],
    CategoryReviewData[low_review_rate_pct],
    ""
)</f>
        <v>8.2699999999999996E-2</v>
      </c>
      <c r="Q43" s="21">
        <f>_xlfn.XLOOKUP(
    $R43,
    CategoryReviewData[category_name],
    CategoryReviewData[high_review_rate_pct],
    ""
)</f>
        <v>0.88390000000000002</v>
      </c>
      <c r="R43" s="1" t="s">
        <v>74</v>
      </c>
    </row>
    <row r="44" spans="1:18" x14ac:dyDescent="0.35">
      <c r="A44" s="2" t="str">
        <f>_xlfn.XLOOKUP(
    $R44,
    CategoryPerformanceData[category_name],
    CategoryPerformanceData[display_category],
    ""
)</f>
        <v>Construction Tools Lights</v>
      </c>
      <c r="B44" s="15">
        <f>_xlfn.XLOOKUP(
    $R44,
    CategoryPerformanceData[category_name],
    CategoryPerformanceData[completed_orders],
    ""
)</f>
        <v>242</v>
      </c>
      <c r="C44" s="15">
        <f>_xlfn.XLOOKUP(
    $R44,
    CategoryPerformanceData[category_name],
    CategoryPerformanceData[items_sold],
    ""
)</f>
        <v>301</v>
      </c>
      <c r="D44" s="15">
        <f>_xlfn.XLOOKUP(
    $R44,
    CategoryPerformanceData[category_name],
    CategoryPerformanceData[products_sold],
    ""
)</f>
        <v>77</v>
      </c>
      <c r="E44" s="16">
        <f>_xlfn.XLOOKUP(
    $R44,
    CategoryPerformanceData[category_name],
    CategoryPerformanceData[item_sales_value],
    ""
)</f>
        <v>39957</v>
      </c>
      <c r="F44" s="17">
        <f>_xlfn.XLOOKUP(
    $R44,
    CategoryPerformanceData[category_name],
    CategoryPerformanceData[item_sales_value_share_pct],
    ""
)</f>
        <v>3.0000000000000001E-3</v>
      </c>
      <c r="G44" s="16">
        <f>_xlfn.XLOOKUP(
    $R44,
    CategoryPerformanceData[category_name],
    CategoryPerformanceData[avg_item_price],
    ""
)</f>
        <v>132.75</v>
      </c>
      <c r="H44" s="18">
        <f>_xlfn.XLOOKUP(
    $R44,
    CategoryGrowthData[category_name],
    CategoryGrowthData[item_sales_value_2017],
    ""
)</f>
        <v>949</v>
      </c>
      <c r="I44" s="16">
        <f>_xlfn.XLOOKUP(
    $R44,
    CategoryGrowthData[category_name],
    CategoryGrowthData[item_sales_value_2018],
    ""
)</f>
        <v>35903.519999999997</v>
      </c>
      <c r="J44" s="16">
        <f>_xlfn.XLOOKUP(
    $R44,
    CategoryGrowthData[category_name],
    CategoryGrowthData[item_sales_value_change],
    ""
)</f>
        <v>34954.519999999997</v>
      </c>
      <c r="K44" s="19">
        <f>_xlfn.LET(
    _xlpm.cat, $R44,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36.832999999999998</v>
      </c>
      <c r="L44" s="20">
        <f>_xlfn.XLOOKUP(
    $R44,
    CategoryGrowthData[category_name],
    CategoryGrowthData[marketplace_share_change_pp],
    ""
)</f>
        <v>0.47</v>
      </c>
      <c r="M44" s="19">
        <f>_xlfn.XLOOKUP(
    $R44,
    CategoryGrowthData[category_name],
    CategoryGrowthData[contribution_to_sales_growth_pct],
    ""
)</f>
        <v>8.3000000000000001E-3</v>
      </c>
      <c r="N44" s="15">
        <f>_xlfn.XLOOKUP(
    $R44,
    CategoryReviewData[category_name],
    CategoryReviewData[reviewed_orders],
    ""
)</f>
        <v>241</v>
      </c>
      <c r="O44" s="16">
        <f>_xlfn.XLOOKUP(
    $R44,
    CategoryReviewData[category_name],
    CategoryReviewData[avg_review_score],
    ""
)</f>
        <v>4.12</v>
      </c>
      <c r="P44" s="21">
        <f>_xlfn.XLOOKUP(
    $R44,
    CategoryReviewData[category_name],
    CategoryReviewData[low_review_rate_pct],
    ""
)</f>
        <v>0.11199999999999999</v>
      </c>
      <c r="Q44" s="21">
        <f>_xlfn.XLOOKUP(
    $R44,
    CategoryReviewData[category_name],
    CategoryReviewData[high_review_rate_pct],
    ""
)</f>
        <v>0.77180000000000004</v>
      </c>
      <c r="R44" s="1" t="s">
        <v>75</v>
      </c>
    </row>
    <row r="45" spans="1:18" x14ac:dyDescent="0.35">
      <c r="A45" s="2" t="str">
        <f>_xlfn.XLOOKUP(
    $R45,
    CategoryPerformanceData[category_name],
    CategoryPerformanceData[display_category],
    ""
)</f>
        <v>Construction Tools Safety</v>
      </c>
      <c r="B45" s="15">
        <f>_xlfn.XLOOKUP(
    $R45,
    CategoryPerformanceData[category_name],
    CategoryPerformanceData[completed_orders],
    ""
)</f>
        <v>159</v>
      </c>
      <c r="C45" s="15">
        <f>_xlfn.XLOOKUP(
    $R45,
    CategoryPerformanceData[category_name],
    CategoryPerformanceData[items_sold],
    ""
)</f>
        <v>183</v>
      </c>
      <c r="D45" s="15">
        <f>_xlfn.XLOOKUP(
    $R45,
    CategoryPerformanceData[category_name],
    CategoryPerformanceData[products_sold],
    ""
)</f>
        <v>88</v>
      </c>
      <c r="E45" s="16">
        <f>_xlfn.XLOOKUP(
    $R45,
    CategoryPerformanceData[category_name],
    CategoryPerformanceData[item_sales_value],
    ""
)</f>
        <v>38773.22</v>
      </c>
      <c r="F45" s="17">
        <f>_xlfn.XLOOKUP(
    $R45,
    CategoryPerformanceData[category_name],
    CategoryPerformanceData[item_sales_value_share_pct],
    ""
)</f>
        <v>2.8999999999999998E-3</v>
      </c>
      <c r="G45" s="16">
        <f>_xlfn.XLOOKUP(
    $R45,
    CategoryPerformanceData[category_name],
    CategoryPerformanceData[avg_item_price],
    ""
)</f>
        <v>211.88</v>
      </c>
      <c r="H45" s="18">
        <f>_xlfn.XLOOKUP(
    $R45,
    CategoryGrowthData[category_name],
    CategoryGrowthData[item_sales_value_2017],
    ""
)</f>
        <v>387.9</v>
      </c>
      <c r="I45" s="16">
        <f>_xlfn.XLOOKUP(
    $R45,
    CategoryGrowthData[category_name],
    CategoryGrowthData[item_sales_value_2018],
    ""
)</f>
        <v>30926.32</v>
      </c>
      <c r="J45" s="16">
        <f>_xlfn.XLOOKUP(
    $R45,
    CategoryGrowthData[category_name],
    CategoryGrowthData[item_sales_value_change],
    ""
)</f>
        <v>30538.42</v>
      </c>
      <c r="K45" s="19">
        <f>_xlfn.LET(
    _xlpm.cat, $R45,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78.727599999999995</v>
      </c>
      <c r="L45" s="20">
        <f>_xlfn.XLOOKUP(
    $R45,
    CategoryGrowthData[category_name],
    CategoryGrowthData[marketplace_share_change_pp],
    ""
)</f>
        <v>0.42</v>
      </c>
      <c r="M45" s="19">
        <f>_xlfn.XLOOKUP(
    $R45,
    CategoryGrowthData[category_name],
    CategoryGrowthData[contribution_to_sales_growth_pct],
    ""
)</f>
        <v>7.1999999999999998E-3</v>
      </c>
      <c r="N45" s="15">
        <f>_xlfn.XLOOKUP(
    $R45,
    CategoryReviewData[category_name],
    CategoryReviewData[reviewed_orders],
    ""
)</f>
        <v>166</v>
      </c>
      <c r="O45" s="16">
        <f>_xlfn.XLOOKUP(
    $R45,
    CategoryReviewData[category_name],
    CategoryReviewData[avg_review_score],
    ""
)</f>
        <v>3.85</v>
      </c>
      <c r="P45" s="21">
        <f>_xlfn.XLOOKUP(
    $R45,
    CategoryReviewData[category_name],
    CategoryReviewData[low_review_rate_pct],
    ""
)</f>
        <v>0.20480000000000001</v>
      </c>
      <c r="Q45" s="21">
        <f>_xlfn.XLOOKUP(
    $R45,
    CategoryReviewData[category_name],
    CategoryReviewData[high_review_rate_pct],
    ""
)</f>
        <v>0.71689999999999998</v>
      </c>
      <c r="R45" s="1" t="s">
        <v>76</v>
      </c>
    </row>
    <row r="46" spans="1:18" x14ac:dyDescent="0.35">
      <c r="A46" s="2" t="str">
        <f>_xlfn.XLOOKUP(
    $R46,
    CategoryPerformanceData[category_name],
    CategoryPerformanceData[display_category],
    ""
)</f>
        <v>Industry Commerce And Business</v>
      </c>
      <c r="B46" s="15">
        <f>_xlfn.XLOOKUP(
    $R46,
    CategoryPerformanceData[category_name],
    CategoryPerformanceData[completed_orders],
    ""
)</f>
        <v>232</v>
      </c>
      <c r="C46" s="15">
        <f>_xlfn.XLOOKUP(
    $R46,
    CategoryPerformanceData[category_name],
    CategoryPerformanceData[items_sold],
    ""
)</f>
        <v>265</v>
      </c>
      <c r="D46" s="15">
        <f>_xlfn.XLOOKUP(
    $R46,
    CategoryPerformanceData[category_name],
    CategoryPerformanceData[products_sold],
    ""
)</f>
        <v>68</v>
      </c>
      <c r="E46" s="16">
        <f>_xlfn.XLOOKUP(
    $R46,
    CategoryPerformanceData[category_name],
    CategoryPerformanceData[item_sales_value],
    ""
)</f>
        <v>38498.81</v>
      </c>
      <c r="F46" s="17">
        <f>_xlfn.XLOOKUP(
    $R46,
    CategoryPerformanceData[category_name],
    CategoryPerformanceData[item_sales_value_share_pct],
    ""
)</f>
        <v>2.8999999999999998E-3</v>
      </c>
      <c r="G46" s="16">
        <f>_xlfn.XLOOKUP(
    $R46,
    CategoryPerformanceData[category_name],
    CategoryPerformanceData[avg_item_price],
    ""
)</f>
        <v>145.28</v>
      </c>
      <c r="H46" s="18">
        <f>_xlfn.XLOOKUP(
    $R46,
    CategoryGrowthData[category_name],
    CategoryGrowthData[item_sales_value_2017],
    ""
)</f>
        <v>2356.63</v>
      </c>
      <c r="I46" s="16">
        <f>_xlfn.XLOOKUP(
    $R46,
    CategoryGrowthData[category_name],
    CategoryGrowthData[item_sales_value_2018],
    ""
)</f>
        <v>29482.54</v>
      </c>
      <c r="J46" s="16">
        <f>_xlfn.XLOOKUP(
    $R46,
    CategoryGrowthData[category_name],
    CategoryGrowthData[item_sales_value_change],
    ""
)</f>
        <v>27125.91</v>
      </c>
      <c r="K46" s="19">
        <f>_xlfn.LET(
    _xlpm.cat, $R46,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11.5105</v>
      </c>
      <c r="L46" s="20">
        <f>_xlfn.XLOOKUP(
    $R46,
    CategoryGrowthData[category_name],
    CategoryGrowthData[marketplace_share_change_pp],
    ""
)</f>
        <v>0.33</v>
      </c>
      <c r="M46" s="19">
        <f>_xlfn.XLOOKUP(
    $R46,
    CategoryGrowthData[category_name],
    CategoryGrowthData[contribution_to_sales_growth_pct],
    ""
)</f>
        <v>6.4000000000000003E-3</v>
      </c>
      <c r="N46" s="15">
        <f>_xlfn.XLOOKUP(
    $R46,
    CategoryReviewData[category_name],
    CategoryReviewData[reviewed_orders],
    ""
)</f>
        <v>233</v>
      </c>
      <c r="O46" s="16">
        <f>_xlfn.XLOOKUP(
    $R46,
    CategoryReviewData[category_name],
    CategoryReviewData[avg_review_score],
    ""
)</f>
        <v>4.1900000000000004</v>
      </c>
      <c r="P46" s="21">
        <f>_xlfn.XLOOKUP(
    $R46,
    CategoryReviewData[category_name],
    CategoryReviewData[low_review_rate_pct],
    ""
)</f>
        <v>0.1116</v>
      </c>
      <c r="Q46" s="21">
        <f>_xlfn.XLOOKUP(
    $R46,
    CategoryReviewData[category_name],
    CategoryReviewData[high_review_rate_pct],
    ""
)</f>
        <v>0.79830000000000001</v>
      </c>
      <c r="R46" s="1" t="s">
        <v>77</v>
      </c>
    </row>
    <row r="47" spans="1:18" x14ac:dyDescent="0.35">
      <c r="A47" s="2" t="str">
        <f>_xlfn.XLOOKUP(
    $R47,
    CategoryPerformanceData[category_name],
    CategoryPerformanceData[display_category],
    ""
)</f>
        <v>Food</v>
      </c>
      <c r="B47" s="15">
        <f>_xlfn.XLOOKUP(
    $R47,
    CategoryPerformanceData[category_name],
    CategoryPerformanceData[completed_orders],
    ""
)</f>
        <v>441</v>
      </c>
      <c r="C47" s="15">
        <f>_xlfn.XLOOKUP(
    $R47,
    CategoryPerformanceData[category_name],
    CategoryPerformanceData[items_sold],
    ""
)</f>
        <v>499</v>
      </c>
      <c r="D47" s="15">
        <f>_xlfn.XLOOKUP(
    $R47,
    CategoryPerformanceData[category_name],
    CategoryPerformanceData[products_sold],
    ""
)</f>
        <v>79</v>
      </c>
      <c r="E47" s="16">
        <f>_xlfn.XLOOKUP(
    $R47,
    CategoryPerformanceData[category_name],
    CategoryPerformanceData[item_sales_value],
    ""
)</f>
        <v>28731.15</v>
      </c>
      <c r="F47" s="17">
        <f>_xlfn.XLOOKUP(
    $R47,
    CategoryPerformanceData[category_name],
    CategoryPerformanceData[item_sales_value_share_pct],
    ""
)</f>
        <v>2.2000000000000001E-3</v>
      </c>
      <c r="G47" s="16">
        <f>_xlfn.XLOOKUP(
    $R47,
    CategoryPerformanceData[category_name],
    CategoryPerformanceData[avg_item_price],
    ""
)</f>
        <v>57.58</v>
      </c>
      <c r="H47" s="18">
        <f>_xlfn.XLOOKUP(
    $R47,
    CategoryGrowthData[category_name],
    CategoryGrowthData[item_sales_value_2017],
    ""
)</f>
        <v>5109.97</v>
      </c>
      <c r="I47" s="16">
        <f>_xlfn.XLOOKUP(
    $R47,
    CategoryGrowthData[category_name],
    CategoryGrowthData[item_sales_value_2018],
    ""
)</f>
        <v>20304.87</v>
      </c>
      <c r="J47" s="16">
        <f>_xlfn.XLOOKUP(
    $R47,
    CategoryGrowthData[category_name],
    CategoryGrowthData[item_sales_value_change],
    ""
)</f>
        <v>15194.9</v>
      </c>
      <c r="K47" s="19">
        <f>_xlfn.LET(
    _xlpm.cat, $R47,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2.9736000000000002</v>
      </c>
      <c r="L47" s="20">
        <f>_xlfn.XLOOKUP(
    $R47,
    CategoryGrowthData[category_name],
    CategoryGrowthData[marketplace_share_change_pp],
    ""
)</f>
        <v>0.11</v>
      </c>
      <c r="M47" s="19">
        <f>_xlfn.XLOOKUP(
    $R47,
    CategoryGrowthData[category_name],
    CategoryGrowthData[contribution_to_sales_growth_pct],
    ""
)</f>
        <v>3.5999999999999999E-3</v>
      </c>
      <c r="N47" s="15">
        <f>_xlfn.XLOOKUP(
    $R47,
    CategoryReviewData[category_name],
    CategoryReviewData[reviewed_orders],
    ""
)</f>
        <v>445</v>
      </c>
      <c r="O47" s="16">
        <f>_xlfn.XLOOKUP(
    $R47,
    CategoryReviewData[category_name],
    CategoryReviewData[avg_review_score],
    ""
)</f>
        <v>4.28</v>
      </c>
      <c r="P47" s="21">
        <f>_xlfn.XLOOKUP(
    $R47,
    CategoryReviewData[category_name],
    CategoryReviewData[low_review_rate_pct],
    ""
)</f>
        <v>0.11460000000000001</v>
      </c>
      <c r="Q47" s="21">
        <f>_xlfn.XLOOKUP(
    $R47,
    CategoryReviewData[category_name],
    CategoryReviewData[high_review_rate_pct],
    ""
)</f>
        <v>0.83599999999999997</v>
      </c>
      <c r="R47" s="1" t="s">
        <v>78</v>
      </c>
    </row>
    <row r="48" spans="1:18" x14ac:dyDescent="0.35">
      <c r="A48" s="2" t="str">
        <f>_xlfn.XLOOKUP(
    $R48,
    CategoryPerformanceData[category_name],
    CategoryPerformanceData[display_category],
    ""
)</f>
        <v>Market Place</v>
      </c>
      <c r="B48" s="15">
        <f>_xlfn.XLOOKUP(
    $R48,
    CategoryPerformanceData[category_name],
    CategoryPerformanceData[completed_orders],
    ""
)</f>
        <v>274</v>
      </c>
      <c r="C48" s="15">
        <f>_xlfn.XLOOKUP(
    $R48,
    CategoryPerformanceData[category_name],
    CategoryPerformanceData[items_sold],
    ""
)</f>
        <v>305</v>
      </c>
      <c r="D48" s="15">
        <f>_xlfn.XLOOKUP(
    $R48,
    CategoryPerformanceData[category_name],
    CategoryPerformanceData[products_sold],
    ""
)</f>
        <v>99</v>
      </c>
      <c r="E48" s="16">
        <f>_xlfn.XLOOKUP(
    $R48,
    CategoryPerformanceData[category_name],
    CategoryPerformanceData[item_sales_value],
    ""
)</f>
        <v>27795.77</v>
      </c>
      <c r="F48" s="17">
        <f>_xlfn.XLOOKUP(
    $R48,
    CategoryPerformanceData[category_name],
    CategoryPerformanceData[item_sales_value_share_pct],
    ""
)</f>
        <v>2.0999999999999999E-3</v>
      </c>
      <c r="G48" s="16">
        <f>_xlfn.XLOOKUP(
    $R48,
    CategoryPerformanceData[category_name],
    CategoryPerformanceData[avg_item_price],
    ""
)</f>
        <v>91.13</v>
      </c>
      <c r="H48" s="18">
        <f>_xlfn.XLOOKUP(
    $R48,
    CategoryGrowthData[category_name],
    CategoryGrowthData[item_sales_value_2017],
    ""
)</f>
        <v>15088.93</v>
      </c>
      <c r="I48" s="16">
        <f>_xlfn.XLOOKUP(
    $R48,
    CategoryGrowthData[category_name],
    CategoryGrowthData[item_sales_value_2018],
    ""
)</f>
        <v>7565.57</v>
      </c>
      <c r="J48" s="16">
        <f>_xlfn.XLOOKUP(
    $R48,
    CategoryGrowthData[category_name],
    CategoryGrowthData[item_sales_value_change],
    ""
)</f>
        <v>-7523.36</v>
      </c>
      <c r="K48" s="19">
        <f>_xlfn.LET(
    _xlpm.cat, $R48,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-0.49859999999999999</v>
      </c>
      <c r="L48" s="20">
        <f>_xlfn.XLOOKUP(
    $R48,
    CategoryGrowthData[category_name],
    CategoryGrowthData[marketplace_share_change_pp],
    ""
)</f>
        <v>-0.4</v>
      </c>
      <c r="M48" s="19">
        <f>_xlfn.XLOOKUP(
    $R48,
    CategoryGrowthData[category_name],
    CategoryGrowthData[contribution_to_sales_growth_pct],
    ""
)</f>
        <v>-1.8E-3</v>
      </c>
      <c r="N48" s="15">
        <f>_xlfn.XLOOKUP(
    $R48,
    CategoryReviewData[category_name],
    CategoryReviewData[reviewed_orders],
    ""
)</f>
        <v>278</v>
      </c>
      <c r="O48" s="16">
        <f>_xlfn.XLOOKUP(
    $R48,
    CategoryReviewData[category_name],
    CategoryReviewData[avg_review_score],
    ""
)</f>
        <v>4.03</v>
      </c>
      <c r="P48" s="21">
        <f>_xlfn.XLOOKUP(
    $R48,
    CategoryReviewData[category_name],
    CategoryReviewData[low_review_rate_pct],
    ""
)</f>
        <v>0.13669999999999999</v>
      </c>
      <c r="Q48" s="21">
        <f>_xlfn.XLOOKUP(
    $R48,
    CategoryReviewData[category_name],
    CategoryReviewData[high_review_rate_pct],
    ""
)</f>
        <v>0.75180000000000002</v>
      </c>
      <c r="R48" s="1" t="s">
        <v>79</v>
      </c>
    </row>
    <row r="49" spans="1:18" x14ac:dyDescent="0.35">
      <c r="A49" s="2" t="str">
        <f>_xlfn.XLOOKUP(
    $R49,
    CategoryPerformanceData[category_name],
    CategoryPerformanceData[display_category],
    ""
)</f>
        <v>Costruction Tools Garden</v>
      </c>
      <c r="B49" s="15">
        <f>_xlfn.XLOOKUP(
    $R49,
    CategoryPerformanceData[category_name],
    CategoryPerformanceData[completed_orders],
    ""
)</f>
        <v>190</v>
      </c>
      <c r="C49" s="15">
        <f>_xlfn.XLOOKUP(
    $R49,
    CategoryPerformanceData[category_name],
    CategoryPerformanceData[items_sold],
    ""
)</f>
        <v>232</v>
      </c>
      <c r="D49" s="15">
        <f>_xlfn.XLOOKUP(
    $R49,
    CategoryPerformanceData[category_name],
    CategoryPerformanceData[products_sold],
    ""
)</f>
        <v>86</v>
      </c>
      <c r="E49" s="16">
        <f>_xlfn.XLOOKUP(
    $R49,
    CategoryPerformanceData[category_name],
    CategoryPerformanceData[item_sales_value],
    ""
)</f>
        <v>25096.28</v>
      </c>
      <c r="F49" s="17">
        <f>_xlfn.XLOOKUP(
    $R49,
    CategoryPerformanceData[category_name],
    CategoryPerformanceData[item_sales_value_share_pct],
    ""
)</f>
        <v>1.9E-3</v>
      </c>
      <c r="G49" s="16">
        <f>_xlfn.XLOOKUP(
    $R49,
    CategoryPerformanceData[category_name],
    CategoryPerformanceData[avg_item_price],
    ""
)</f>
        <v>108.17</v>
      </c>
      <c r="H49" s="18">
        <f>_xlfn.XLOOKUP(
    $R49,
    CategoryGrowthData[category_name],
    CategoryGrowthData[item_sales_value_2017],
    ""
)</f>
        <v>5585.99</v>
      </c>
      <c r="I49" s="16">
        <f>_xlfn.XLOOKUP(
    $R49,
    CategoryGrowthData[category_name],
    CategoryGrowthData[item_sales_value_2018],
    ""
)</f>
        <v>16364.39</v>
      </c>
      <c r="J49" s="16">
        <f>_xlfn.XLOOKUP(
    $R49,
    CategoryGrowthData[category_name],
    CategoryGrowthData[item_sales_value_change],
    ""
)</f>
        <v>10778.4</v>
      </c>
      <c r="K49" s="19">
        <f>_xlfn.LET(
    _xlpm.cat, $R49,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1.9295</v>
      </c>
      <c r="L49" s="20">
        <f>_xlfn.XLOOKUP(
    $R49,
    CategoryGrowthData[category_name],
    CategoryGrowthData[marketplace_share_change_pp],
    ""
)</f>
        <v>0.04</v>
      </c>
      <c r="M49" s="19">
        <f>_xlfn.XLOOKUP(
    $R49,
    CategoryGrowthData[category_name],
    CategoryGrowthData[contribution_to_sales_growth_pct],
    ""
)</f>
        <v>2.5999999999999999E-3</v>
      </c>
      <c r="N49" s="15">
        <f>_xlfn.XLOOKUP(
    $R49,
    CategoryReviewData[category_name],
    CategoryReviewData[reviewed_orders],
    ""
)</f>
        <v>194</v>
      </c>
      <c r="O49" s="16">
        <f>_xlfn.XLOOKUP(
    $R49,
    CategoryReviewData[category_name],
    CategoryReviewData[avg_review_score],
    ""
)</f>
        <v>4.1900000000000004</v>
      </c>
      <c r="P49" s="21">
        <f>_xlfn.XLOOKUP(
    $R49,
    CategoryReviewData[category_name],
    CategoryReviewData[low_review_rate_pct],
    ""
)</f>
        <v>0.13919999999999999</v>
      </c>
      <c r="Q49" s="21">
        <f>_xlfn.XLOOKUP(
    $R49,
    CategoryReviewData[category_name],
    CategoryReviewData[high_review_rate_pct],
    ""
)</f>
        <v>0.80930000000000002</v>
      </c>
      <c r="R49" s="1" t="s">
        <v>80</v>
      </c>
    </row>
    <row r="50" spans="1:18" x14ac:dyDescent="0.35">
      <c r="A50" s="2" t="str">
        <f>_xlfn.XLOOKUP(
    $R50,
    CategoryPerformanceData[category_name],
    CategoryPerformanceData[display_category],
    ""
)</f>
        <v>Art</v>
      </c>
      <c r="B50" s="15">
        <f>_xlfn.XLOOKUP(
    $R50,
    CategoryPerformanceData[category_name],
    CategoryPerformanceData[completed_orders],
    ""
)</f>
        <v>195</v>
      </c>
      <c r="C50" s="15">
        <f>_xlfn.XLOOKUP(
    $R50,
    CategoryPerformanceData[category_name],
    CategoryPerformanceData[items_sold],
    ""
)</f>
        <v>197</v>
      </c>
      <c r="D50" s="15">
        <f>_xlfn.XLOOKUP(
    $R50,
    CategoryPerformanceData[category_name],
    CategoryPerformanceData[products_sold],
    ""
)</f>
        <v>52</v>
      </c>
      <c r="E50" s="16">
        <f>_xlfn.XLOOKUP(
    $R50,
    CategoryPerformanceData[category_name],
    CategoryPerformanceData[item_sales_value],
    ""
)</f>
        <v>23657.3</v>
      </c>
      <c r="F50" s="17">
        <f>_xlfn.XLOOKUP(
    $R50,
    CategoryPerformanceData[category_name],
    CategoryPerformanceData[item_sales_value_share_pct],
    ""
)</f>
        <v>1.8E-3</v>
      </c>
      <c r="G50" s="16">
        <f>_xlfn.XLOOKUP(
    $R50,
    CategoryPerformanceData[category_name],
    CategoryPerformanceData[avg_item_price],
    ""
)</f>
        <v>120.09</v>
      </c>
      <c r="H50" s="18">
        <f>_xlfn.XLOOKUP(
    $R50,
    CategoryGrowthData[category_name],
    CategoryGrowthData[item_sales_value_2017],
    ""
)</f>
        <v>8053.5</v>
      </c>
      <c r="I50" s="16">
        <f>_xlfn.XLOOKUP(
    $R50,
    CategoryGrowthData[category_name],
    CategoryGrowthData[item_sales_value_2018],
    ""
)</f>
        <v>14675.96</v>
      </c>
      <c r="J50" s="16">
        <f>_xlfn.XLOOKUP(
    $R50,
    CategoryGrowthData[category_name],
    CategoryGrowthData[item_sales_value_change],
    ""
)</f>
        <v>6622.46</v>
      </c>
      <c r="K50" s="19">
        <f>_xlfn.LET(
    _xlpm.cat, $R50,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0.82230000000000003</v>
      </c>
      <c r="L50" s="20">
        <f>_xlfn.XLOOKUP(
    $R50,
    CategoryGrowthData[category_name],
    CategoryGrowthData[marketplace_share_change_pp],
    ""
)</f>
        <v>-7.0000000000000007E-2</v>
      </c>
      <c r="M50" s="19">
        <f>_xlfn.XLOOKUP(
    $R50,
    CategoryGrowthData[category_name],
    CategoryGrowthData[contribution_to_sales_growth_pct],
    ""
)</f>
        <v>1.6000000000000001E-3</v>
      </c>
      <c r="N50" s="15">
        <f>_xlfn.XLOOKUP(
    $R50,
    CategoryReviewData[category_name],
    CategoryReviewData[reviewed_orders],
    ""
)</f>
        <v>200</v>
      </c>
      <c r="O50" s="16">
        <f>_xlfn.XLOOKUP(
    $R50,
    CategoryReviewData[category_name],
    CategoryReviewData[avg_review_score],
    ""
)</f>
        <v>4.03</v>
      </c>
      <c r="P50" s="21">
        <f>_xlfn.XLOOKUP(
    $R50,
    CategoryReviewData[category_name],
    CategoryReviewData[low_review_rate_pct],
    ""
)</f>
        <v>0.16</v>
      </c>
      <c r="Q50" s="21">
        <f>_xlfn.XLOOKUP(
    $R50,
    CategoryReviewData[category_name],
    CategoryReviewData[high_review_rate_pct],
    ""
)</f>
        <v>0.75</v>
      </c>
      <c r="R50" s="1" t="s">
        <v>81</v>
      </c>
    </row>
    <row r="51" spans="1:18" x14ac:dyDescent="0.35">
      <c r="A51" s="2" t="str">
        <f>_xlfn.XLOOKUP(
    $R51,
    CategoryPerformanceData[category_name],
    CategoryPerformanceData[display_category],
    ""
)</f>
        <v>Fashion Shoes</v>
      </c>
      <c r="B51" s="15">
        <f>_xlfn.XLOOKUP(
    $R51,
    CategoryPerformanceData[category_name],
    CategoryPerformanceData[completed_orders],
    ""
)</f>
        <v>235</v>
      </c>
      <c r="C51" s="15">
        <f>_xlfn.XLOOKUP(
    $R51,
    CategoryPerformanceData[category_name],
    CategoryPerformanceData[items_sold],
    ""
)</f>
        <v>257</v>
      </c>
      <c r="D51" s="15">
        <f>_xlfn.XLOOKUP(
    $R51,
    CategoryPerformanceData[category_name],
    CategoryPerformanceData[products_sold],
    ""
)</f>
        <v>170</v>
      </c>
      <c r="E51" s="16">
        <f>_xlfn.XLOOKUP(
    $R51,
    CategoryPerformanceData[category_name],
    CategoryPerformanceData[item_sales_value],
    ""
)</f>
        <v>23001.46</v>
      </c>
      <c r="F51" s="17">
        <f>_xlfn.XLOOKUP(
    $R51,
    CategoryPerformanceData[category_name],
    CategoryPerformanceData[item_sales_value_share_pct],
    ""
)</f>
        <v>1.7000000000000001E-3</v>
      </c>
      <c r="G51" s="16">
        <f>_xlfn.XLOOKUP(
    $R51,
    CategoryPerformanceData[category_name],
    CategoryPerformanceData[avg_item_price],
    ""
)</f>
        <v>89.5</v>
      </c>
      <c r="H51" s="18">
        <f>_xlfn.XLOOKUP(
    $R51,
    CategoryGrowthData[category_name],
    CategoryGrowthData[item_sales_value_2017],
    ""
)</f>
        <v>8907.08</v>
      </c>
      <c r="I51" s="16">
        <f>_xlfn.XLOOKUP(
    $R51,
    CategoryGrowthData[category_name],
    CategoryGrowthData[item_sales_value_2018],
    ""
)</f>
        <v>8296.9699999999993</v>
      </c>
      <c r="J51" s="16">
        <f>_xlfn.XLOOKUP(
    $R51,
    CategoryGrowthData[category_name],
    CategoryGrowthData[item_sales_value_change],
    ""
)</f>
        <v>-610.11</v>
      </c>
      <c r="K51" s="19">
        <f>_xlfn.LET(
    _xlpm.cat, $R51,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-6.8499999999999991E-2</v>
      </c>
      <c r="L51" s="20">
        <f>_xlfn.XLOOKUP(
    $R51,
    CategoryGrowthData[category_name],
    CategoryGrowthData[marketplace_share_change_pp],
    ""
)</f>
        <v>-0.18</v>
      </c>
      <c r="M51" s="19">
        <f>_xlfn.XLOOKUP(
    $R51,
    CategoryGrowthData[category_name],
    CategoryGrowthData[contribution_to_sales_growth_pct],
    ""
)</f>
        <v>-1E-4</v>
      </c>
      <c r="N51" s="15">
        <f>_xlfn.XLOOKUP(
    $R51,
    CategoryReviewData[category_name],
    CategoryReviewData[reviewed_orders],
    ""
)</f>
        <v>236</v>
      </c>
      <c r="O51" s="16">
        <f>_xlfn.XLOOKUP(
    $R51,
    CategoryReviewData[category_name],
    CategoryReviewData[avg_review_score],
    ""
)</f>
        <v>4.21</v>
      </c>
      <c r="P51" s="21">
        <f>_xlfn.XLOOKUP(
    $R51,
    CategoryReviewData[category_name],
    CategoryReviewData[low_review_rate_pct],
    ""
)</f>
        <v>0.12710000000000002</v>
      </c>
      <c r="Q51" s="21">
        <f>_xlfn.XLOOKUP(
    $R51,
    CategoryReviewData[category_name],
    CategoryReviewData[high_review_rate_pct],
    ""
)</f>
        <v>0.79659999999999997</v>
      </c>
      <c r="R51" s="1" t="s">
        <v>82</v>
      </c>
    </row>
    <row r="52" spans="1:18" x14ac:dyDescent="0.35">
      <c r="A52" s="2" t="str">
        <f>_xlfn.XLOOKUP(
    $R52,
    CategoryPerformanceData[category_name],
    CategoryPerformanceData[display_category],
    ""
)</f>
        <v>Drinks</v>
      </c>
      <c r="B52" s="15">
        <f>_xlfn.XLOOKUP(
    $R52,
    CategoryPerformanceData[category_name],
    CategoryPerformanceData[completed_orders],
    ""
)</f>
        <v>287</v>
      </c>
      <c r="C52" s="15">
        <f>_xlfn.XLOOKUP(
    $R52,
    CategoryPerformanceData[category_name],
    CategoryPerformanceData[items_sold],
    ""
)</f>
        <v>361</v>
      </c>
      <c r="D52" s="15">
        <f>_xlfn.XLOOKUP(
    $R52,
    CategoryPerformanceData[category_name],
    CategoryPerformanceData[products_sold],
    ""
)</f>
        <v>80</v>
      </c>
      <c r="E52" s="16">
        <f>_xlfn.XLOOKUP(
    $R52,
    CategoryPerformanceData[category_name],
    CategoryPerformanceData[item_sales_value],
    ""
)</f>
        <v>21529.84</v>
      </c>
      <c r="F52" s="17">
        <f>_xlfn.XLOOKUP(
    $R52,
    CategoryPerformanceData[category_name],
    CategoryPerformanceData[item_sales_value_share_pct],
    ""
)</f>
        <v>1.6000000000000001E-3</v>
      </c>
      <c r="G52" s="16">
        <f>_xlfn.XLOOKUP(
    $R52,
    CategoryPerformanceData[category_name],
    CategoryPerformanceData[avg_item_price],
    ""
)</f>
        <v>59.64</v>
      </c>
      <c r="H52" s="18">
        <f>_xlfn.XLOOKUP(
    $R52,
    CategoryGrowthData[category_name],
    CategoryGrowthData[item_sales_value_2017],
    ""
)</f>
        <v>997.73</v>
      </c>
      <c r="I52" s="16">
        <f>_xlfn.XLOOKUP(
    $R52,
    CategoryGrowthData[category_name],
    CategoryGrowthData[item_sales_value_2018],
    ""
)</f>
        <v>16883.189999999999</v>
      </c>
      <c r="J52" s="16">
        <f>_xlfn.XLOOKUP(
    $R52,
    CategoryGrowthData[category_name],
    CategoryGrowthData[item_sales_value_change],
    ""
)</f>
        <v>15885.46</v>
      </c>
      <c r="K52" s="19">
        <f>_xlfn.LET(
    _xlpm.cat, $R52,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15.921600000000002</v>
      </c>
      <c r="L52" s="20">
        <f>_xlfn.XLOOKUP(
    $R52,
    CategoryGrowthData[category_name],
    CategoryGrowthData[marketplace_share_change_pp],
    ""
)</f>
        <v>0.2</v>
      </c>
      <c r="M52" s="19">
        <f>_xlfn.XLOOKUP(
    $R52,
    CategoryGrowthData[category_name],
    CategoryGrowthData[contribution_to_sales_growth_pct],
    ""
)</f>
        <v>3.8E-3</v>
      </c>
      <c r="N52" s="15">
        <f>_xlfn.XLOOKUP(
    $R52,
    CategoryReviewData[category_name],
    CategoryReviewData[reviewed_orders],
    ""
)</f>
        <v>296</v>
      </c>
      <c r="O52" s="16">
        <f>_xlfn.XLOOKUP(
    $R52,
    CategoryReviewData[category_name],
    CategoryReviewData[avg_review_score],
    ""
)</f>
        <v>4.16</v>
      </c>
      <c r="P52" s="21">
        <f>_xlfn.XLOOKUP(
    $R52,
    CategoryReviewData[category_name],
    CategoryReviewData[low_review_rate_pct],
    ""
)</f>
        <v>0.1216</v>
      </c>
      <c r="Q52" s="21">
        <f>_xlfn.XLOOKUP(
    $R52,
    CategoryReviewData[category_name],
    CategoryReviewData[high_review_rate_pct],
    ""
)</f>
        <v>0.80409999999999993</v>
      </c>
      <c r="R52" s="1" t="s">
        <v>83</v>
      </c>
    </row>
    <row r="53" spans="1:18" x14ac:dyDescent="0.35">
      <c r="A53" s="2" t="str">
        <f>_xlfn.XLOOKUP(
    $R53,
    CategoryPerformanceData[category_name],
    CategoryPerformanceData[display_category],
    ""
)</f>
        <v>Signaling And Security</v>
      </c>
      <c r="B53" s="15">
        <f>_xlfn.XLOOKUP(
    $R53,
    CategoryPerformanceData[category_name],
    CategoryPerformanceData[completed_orders],
    ""
)</f>
        <v>138</v>
      </c>
      <c r="C53" s="15">
        <f>_xlfn.XLOOKUP(
    $R53,
    CategoryPerformanceData[category_name],
    CategoryPerformanceData[items_sold],
    ""
)</f>
        <v>197</v>
      </c>
      <c r="D53" s="15">
        <f>_xlfn.XLOOKUP(
    $R53,
    CategoryPerformanceData[category_name],
    CategoryPerformanceData[products_sold],
    ""
)</f>
        <v>91</v>
      </c>
      <c r="E53" s="16">
        <f>_xlfn.XLOOKUP(
    $R53,
    CategoryPerformanceData[category_name],
    CategoryPerformanceData[item_sales_value],
    ""
)</f>
        <v>21315.05</v>
      </c>
      <c r="F53" s="17">
        <f>_xlfn.XLOOKUP(
    $R53,
    CategoryPerformanceData[category_name],
    CategoryPerformanceData[item_sales_value_share_pct],
    ""
)</f>
        <v>1.6000000000000001E-3</v>
      </c>
      <c r="G53" s="16">
        <f>_xlfn.XLOOKUP(
    $R53,
    CategoryPerformanceData[category_name],
    CategoryPerformanceData[avg_item_price],
    ""
)</f>
        <v>108.2</v>
      </c>
      <c r="H53" s="18">
        <f>_xlfn.XLOOKUP(
    $R53,
    CategoryGrowthData[category_name],
    CategoryGrowthData[item_sales_value_2017],
    ""
)</f>
        <v>1699.62</v>
      </c>
      <c r="I53" s="16">
        <f>_xlfn.XLOOKUP(
    $R53,
    CategoryGrowthData[category_name],
    CategoryGrowthData[item_sales_value_2018],
    ""
)</f>
        <v>17066.240000000002</v>
      </c>
      <c r="J53" s="16">
        <f>_xlfn.XLOOKUP(
    $R53,
    CategoryGrowthData[category_name],
    CategoryGrowthData[item_sales_value_change],
    ""
)</f>
        <v>15366.62</v>
      </c>
      <c r="K53" s="19">
        <f>_xlfn.LET(
    _xlpm.cat, $R53,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9.0411999999999999</v>
      </c>
      <c r="L53" s="20">
        <f>_xlfn.XLOOKUP(
    $R53,
    CategoryGrowthData[category_name],
    CategoryGrowthData[marketplace_share_change_pp],
    ""
)</f>
        <v>0.18</v>
      </c>
      <c r="M53" s="19">
        <f>_xlfn.XLOOKUP(
    $R53,
    CategoryGrowthData[category_name],
    CategoryGrowthData[contribution_to_sales_growth_pct],
    ""
)</f>
        <v>3.5999999999999999E-3</v>
      </c>
      <c r="N53" s="15">
        <f>_xlfn.XLOOKUP(
    $R53,
    CategoryReviewData[category_name],
    CategoryReviewData[reviewed_orders],
    ""
)</f>
        <v>138</v>
      </c>
      <c r="O53" s="16">
        <f>_xlfn.XLOOKUP(
    $R53,
    CategoryReviewData[category_name],
    CategoryReviewData[avg_review_score],
    ""
)</f>
        <v>4.1100000000000003</v>
      </c>
      <c r="P53" s="21">
        <f>_xlfn.XLOOKUP(
    $R53,
    CategoryReviewData[category_name],
    CategoryReviewData[low_review_rate_pct],
    ""
)</f>
        <v>0.1159</v>
      </c>
      <c r="Q53" s="21">
        <f>_xlfn.XLOOKUP(
    $R53,
    CategoryReviewData[category_name],
    CategoryReviewData[high_review_rate_pct],
    ""
)</f>
        <v>0.76090000000000002</v>
      </c>
      <c r="R53" s="1" t="s">
        <v>84</v>
      </c>
    </row>
    <row r="54" spans="1:18" x14ac:dyDescent="0.35">
      <c r="A54" s="2" t="str">
        <f>_xlfn.XLOOKUP(
    $R54,
    CategoryPerformanceData[category_name],
    CategoryPerformanceData[display_category],
    ""
)</f>
        <v>Furniture Bedroom</v>
      </c>
      <c r="B54" s="15">
        <f>_xlfn.XLOOKUP(
    $R54,
    CategoryPerformanceData[category_name],
    CategoryPerformanceData[completed_orders],
    ""
)</f>
        <v>90</v>
      </c>
      <c r="C54" s="15">
        <f>_xlfn.XLOOKUP(
    $R54,
    CategoryPerformanceData[category_name],
    CategoryPerformanceData[items_sold],
    ""
)</f>
        <v>103</v>
      </c>
      <c r="D54" s="15">
        <f>_xlfn.XLOOKUP(
    $R54,
    CategoryPerformanceData[category_name],
    CategoryPerformanceData[products_sold],
    ""
)</f>
        <v>43</v>
      </c>
      <c r="E54" s="16">
        <f>_xlfn.XLOOKUP(
    $R54,
    CategoryPerformanceData[category_name],
    CategoryPerformanceData[item_sales_value],
    ""
)</f>
        <v>19051.8</v>
      </c>
      <c r="F54" s="17">
        <f>_xlfn.XLOOKUP(
    $R54,
    CategoryPerformanceData[category_name],
    CategoryPerformanceData[item_sales_value_share_pct],
    ""
)</f>
        <v>1.4000000000000002E-3</v>
      </c>
      <c r="G54" s="16">
        <f>_xlfn.XLOOKUP(
    $R54,
    CategoryPerformanceData[category_name],
    CategoryPerformanceData[avg_item_price],
    ""
)</f>
        <v>184.97</v>
      </c>
      <c r="H54" s="18">
        <f>_xlfn.XLOOKUP(
    $R54,
    CategoryGrowthData[category_name],
    CategoryGrowthData[item_sales_value_2017],
    ""
)</f>
        <v>5527.13</v>
      </c>
      <c r="I54" s="16">
        <f>_xlfn.XLOOKUP(
    $R54,
    CategoryGrowthData[category_name],
    CategoryGrowthData[item_sales_value_2018],
    ""
)</f>
        <v>10813.17</v>
      </c>
      <c r="J54" s="16">
        <f>_xlfn.XLOOKUP(
    $R54,
    CategoryGrowthData[category_name],
    CategoryGrowthData[item_sales_value_change],
    ""
)</f>
        <v>5286.04</v>
      </c>
      <c r="K54" s="19">
        <f>_xlfn.LET(
    _xlpm.cat, $R54,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0.95640000000000003</v>
      </c>
      <c r="L54" s="20">
        <f>_xlfn.XLOOKUP(
    $R54,
    CategoryGrowthData[category_name],
    CategoryGrowthData[marketplace_share_change_pp],
    ""
)</f>
        <v>-0.03</v>
      </c>
      <c r="M54" s="19">
        <f>_xlfn.XLOOKUP(
    $R54,
    CategoryGrowthData[category_name],
    CategoryGrowthData[contribution_to_sales_growth_pct],
    ""
)</f>
        <v>1.2999999999999999E-3</v>
      </c>
      <c r="N54" s="15">
        <f>_xlfn.XLOOKUP(
    $R54,
    CategoryReviewData[category_name],
    CategoryReviewData[reviewed_orders],
    ""
)</f>
        <v>95</v>
      </c>
      <c r="O54" s="16">
        <f>_xlfn.XLOOKUP(
    $R54,
    CategoryReviewData[category_name],
    CategoryReviewData[avg_review_score],
    ""
)</f>
        <v>4.1399999999999997</v>
      </c>
      <c r="P54" s="21">
        <f>_xlfn.XLOOKUP(
    $R54,
    CategoryReviewData[category_name],
    CategoryReviewData[low_review_rate_pct],
    ""
)</f>
        <v>0.15789999999999998</v>
      </c>
      <c r="Q54" s="21">
        <f>_xlfn.XLOOKUP(
    $R54,
    CategoryReviewData[category_name],
    CategoryReviewData[high_review_rate_pct],
    ""
)</f>
        <v>0.8</v>
      </c>
      <c r="R54" s="1" t="s">
        <v>85</v>
      </c>
    </row>
    <row r="55" spans="1:18" x14ac:dyDescent="0.35">
      <c r="A55" s="2" t="str">
        <f>_xlfn.XLOOKUP(
    $R55,
    CategoryPerformanceData[category_name],
    CategoryPerformanceData[display_category],
    ""
)</f>
        <v>Books Technical</v>
      </c>
      <c r="B55" s="15">
        <f>_xlfn.XLOOKUP(
    $R55,
    CategoryPerformanceData[category_name],
    CategoryPerformanceData[completed_orders],
    ""
)</f>
        <v>256</v>
      </c>
      <c r="C55" s="15">
        <f>_xlfn.XLOOKUP(
    $R55,
    CategoryPerformanceData[category_name],
    CategoryPerformanceData[items_sold],
    ""
)</f>
        <v>263</v>
      </c>
      <c r="D55" s="15">
        <f>_xlfn.XLOOKUP(
    $R55,
    CategoryPerformanceData[category_name],
    CategoryPerformanceData[products_sold],
    ""
)</f>
        <v>122</v>
      </c>
      <c r="E55" s="16">
        <f>_xlfn.XLOOKUP(
    $R55,
    CategoryPerformanceData[category_name],
    CategoryPerformanceData[item_sales_value],
    ""
)</f>
        <v>18702.23</v>
      </c>
      <c r="F55" s="17">
        <f>_xlfn.XLOOKUP(
    $R55,
    CategoryPerformanceData[category_name],
    CategoryPerformanceData[item_sales_value_share_pct],
    ""
)</f>
        <v>1.4000000000000002E-3</v>
      </c>
      <c r="G55" s="16">
        <f>_xlfn.XLOOKUP(
    $R55,
    CategoryPerformanceData[category_name],
    CategoryPerformanceData[avg_item_price],
    ""
)</f>
        <v>71.11</v>
      </c>
      <c r="H55" s="18">
        <f>_xlfn.XLOOKUP(
    $R55,
    CategoryGrowthData[category_name],
    CategoryGrowthData[item_sales_value_2017],
    ""
)</f>
        <v>2441.2800000000002</v>
      </c>
      <c r="I55" s="16">
        <f>_xlfn.XLOOKUP(
    $R55,
    CategoryGrowthData[category_name],
    CategoryGrowthData[item_sales_value_2018],
    ""
)</f>
        <v>12940.01</v>
      </c>
      <c r="J55" s="16">
        <f>_xlfn.XLOOKUP(
    $R55,
    CategoryGrowthData[category_name],
    CategoryGrowthData[item_sales_value_change],
    ""
)</f>
        <v>10498.73</v>
      </c>
      <c r="K55" s="19">
        <f>_xlfn.LET(
    _xlpm.cat, $R55,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4.3005000000000004</v>
      </c>
      <c r="L55" s="20">
        <f>_xlfn.XLOOKUP(
    $R55,
    CategoryGrowthData[category_name],
    CategoryGrowthData[marketplace_share_change_pp],
    ""
)</f>
        <v>0.1</v>
      </c>
      <c r="M55" s="19">
        <f>_xlfn.XLOOKUP(
    $R55,
    CategoryGrowthData[category_name],
    CategoryGrowthData[contribution_to_sales_growth_pct],
    ""
)</f>
        <v>2.5000000000000001E-3</v>
      </c>
      <c r="N55" s="15">
        <f>_xlfn.XLOOKUP(
    $R55,
    CategoryReviewData[category_name],
    CategoryReviewData[reviewed_orders],
    ""
)</f>
        <v>257</v>
      </c>
      <c r="O55" s="16">
        <f>_xlfn.XLOOKUP(
    $R55,
    CategoryReviewData[category_name],
    CategoryReviewData[avg_review_score],
    ""
)</f>
        <v>4.4000000000000004</v>
      </c>
      <c r="P55" s="21">
        <f>_xlfn.XLOOKUP(
    $R55,
    CategoryReviewData[category_name],
    CategoryReviewData[low_review_rate_pct],
    ""
)</f>
        <v>0.1012</v>
      </c>
      <c r="Q55" s="21">
        <f>_xlfn.XLOOKUP(
    $R55,
    CategoryReviewData[category_name],
    CategoryReviewData[high_review_rate_pct],
    ""
)</f>
        <v>0.8637999999999999</v>
      </c>
      <c r="R55" s="1" t="s">
        <v>86</v>
      </c>
    </row>
    <row r="56" spans="1:18" x14ac:dyDescent="0.35">
      <c r="A56" s="2" t="str">
        <f>_xlfn.XLOOKUP(
    $R56,
    CategoryPerformanceData[category_name],
    CategoryPerformanceData[display_category],
    ""
)</f>
        <v>Costruction Tools Tools</v>
      </c>
      <c r="B56" s="15">
        <f>_xlfn.XLOOKUP(
    $R56,
    CategoryPerformanceData[category_name],
    CategoryPerformanceData[completed_orders],
    ""
)</f>
        <v>97</v>
      </c>
      <c r="C56" s="15">
        <f>_xlfn.XLOOKUP(
    $R56,
    CategoryPerformanceData[category_name],
    CategoryPerformanceData[items_sold],
    ""
)</f>
        <v>103</v>
      </c>
      <c r="D56" s="15">
        <f>_xlfn.XLOOKUP(
    $R56,
    CategoryPerformanceData[category_name],
    CategoryPerformanceData[products_sold],
    ""
)</f>
        <v>39</v>
      </c>
      <c r="E56" s="16">
        <f>_xlfn.XLOOKUP(
    $R56,
    CategoryPerformanceData[category_name],
    CategoryPerformanceData[item_sales_value],
    ""
)</f>
        <v>15903.95</v>
      </c>
      <c r="F56" s="17">
        <f>_xlfn.XLOOKUP(
    $R56,
    CategoryPerformanceData[category_name],
    CategoryPerformanceData[item_sales_value_share_pct],
    ""
)</f>
        <v>1.1999999999999999E-3</v>
      </c>
      <c r="G56" s="16">
        <f>_xlfn.XLOOKUP(
    $R56,
    CategoryPerformanceData[category_name],
    CategoryPerformanceData[avg_item_price],
    ""
)</f>
        <v>154.41</v>
      </c>
      <c r="H56" s="18">
        <f>_xlfn.XLOOKUP(
    $R56,
    CategoryGrowthData[category_name],
    CategoryGrowthData[item_sales_value_2017],
    ""
)</f>
        <v>1532.9</v>
      </c>
      <c r="I56" s="16">
        <f>_xlfn.XLOOKUP(
    $R56,
    CategoryGrowthData[category_name],
    CategoryGrowthData[item_sales_value_2018],
    ""
)</f>
        <v>11816.66</v>
      </c>
      <c r="J56" s="16">
        <f>_xlfn.XLOOKUP(
    $R56,
    CategoryGrowthData[category_name],
    CategoryGrowthData[item_sales_value_change],
    ""
)</f>
        <v>10283.76</v>
      </c>
      <c r="K56" s="19">
        <f>_xlfn.LET(
    _xlpm.cat, $R56,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6.7087000000000003</v>
      </c>
      <c r="L56" s="20">
        <f>_xlfn.XLOOKUP(
    $R56,
    CategoryGrowthData[category_name],
    CategoryGrowthData[marketplace_share_change_pp],
    ""
)</f>
        <v>0.11</v>
      </c>
      <c r="M56" s="19">
        <f>_xlfn.XLOOKUP(
    $R56,
    CategoryGrowthData[category_name],
    CategoryGrowthData[contribution_to_sales_growth_pct],
    ""
)</f>
        <v>2.3999999999999998E-3</v>
      </c>
      <c r="N56" s="15">
        <f>_xlfn.XLOOKUP(
    $R56,
    CategoryReviewData[category_name],
    CategoryReviewData[reviewed_orders],
    ""
)</f>
        <v>94</v>
      </c>
      <c r="O56" s="16">
        <f>_xlfn.XLOOKUP(
    $R56,
    CategoryReviewData[category_name],
    CategoryReviewData[avg_review_score],
    ""
)</f>
        <v>4.43</v>
      </c>
      <c r="P56" s="21">
        <f>_xlfn.XLOOKUP(
    $R56,
    CategoryReviewData[category_name],
    CategoryReviewData[low_review_rate_pct],
    ""
)</f>
        <v>8.5099999999999995E-2</v>
      </c>
      <c r="Q56" s="21">
        <f>_xlfn.XLOOKUP(
    $R56,
    CategoryReviewData[category_name],
    CategoryReviewData[high_review_rate_pct],
    ""
)</f>
        <v>0.9043000000000001</v>
      </c>
      <c r="R56" s="1" t="s">
        <v>87</v>
      </c>
    </row>
    <row r="57" spans="1:18" x14ac:dyDescent="0.35">
      <c r="A57" s="2" t="str">
        <f>_xlfn.XLOOKUP(
    $R57,
    CategoryPerformanceData[category_name],
    CategoryPerformanceData[display_category],
    ""
)</f>
        <v>Food Drink</v>
      </c>
      <c r="B57" s="15">
        <f>_xlfn.XLOOKUP(
    $R57,
    CategoryPerformanceData[category_name],
    CategoryPerformanceData[completed_orders],
    ""
)</f>
        <v>221</v>
      </c>
      <c r="C57" s="15">
        <f>_xlfn.XLOOKUP(
    $R57,
    CategoryPerformanceData[category_name],
    CategoryPerformanceData[items_sold],
    ""
)</f>
        <v>269</v>
      </c>
      <c r="D57" s="15">
        <f>_xlfn.XLOOKUP(
    $R57,
    CategoryPerformanceData[category_name],
    CategoryPerformanceData[products_sold],
    ""
)</f>
        <v>99</v>
      </c>
      <c r="E57" s="16">
        <f>_xlfn.XLOOKUP(
    $R57,
    CategoryPerformanceData[category_name],
    CategoryPerformanceData[item_sales_value],
    ""
)</f>
        <v>14942.88</v>
      </c>
      <c r="F57" s="17">
        <f>_xlfn.XLOOKUP(
    $R57,
    CategoryPerformanceData[category_name],
    CategoryPerformanceData[item_sales_value_share_pct],
    ""
)</f>
        <v>1.1000000000000001E-3</v>
      </c>
      <c r="G57" s="16">
        <f>_xlfn.XLOOKUP(
    $R57,
    CategoryPerformanceData[category_name],
    CategoryPerformanceData[avg_item_price],
    ""
)</f>
        <v>55.55</v>
      </c>
      <c r="H57" s="18">
        <f>_xlfn.XLOOKUP(
    $R57,
    CategoryGrowthData[category_name],
    CategoryGrowthData[item_sales_value_2017],
    ""
)</f>
        <v>1199.5999999999999</v>
      </c>
      <c r="I57" s="16">
        <f>_xlfn.XLOOKUP(
    $R57,
    CategoryGrowthData[category_name],
    CategoryGrowthData[item_sales_value_2018],
    ""
)</f>
        <v>7655.94</v>
      </c>
      <c r="J57" s="16">
        <f>_xlfn.XLOOKUP(
    $R57,
    CategoryGrowthData[category_name],
    CategoryGrowthData[item_sales_value_change],
    ""
)</f>
        <v>6456.34</v>
      </c>
      <c r="K57" s="19">
        <f>_xlfn.LET(
    _xlpm.cat, $R57,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5.3821000000000003</v>
      </c>
      <c r="L57" s="20">
        <f>_xlfn.XLOOKUP(
    $R57,
    CategoryGrowthData[category_name],
    CategoryGrowthData[marketplace_share_change_pp],
    ""
)</f>
        <v>7.0000000000000007E-2</v>
      </c>
      <c r="M57" s="19">
        <f>_xlfn.XLOOKUP(
    $R57,
    CategoryGrowthData[category_name],
    CategoryGrowthData[contribution_to_sales_growth_pct],
    ""
)</f>
        <v>1.5E-3</v>
      </c>
      <c r="N57" s="15">
        <f>_xlfn.XLOOKUP(
    $R57,
    CategoryReviewData[category_name],
    CategoryReviewData[reviewed_orders],
    ""
)</f>
        <v>226</v>
      </c>
      <c r="O57" s="16">
        <f>_xlfn.XLOOKUP(
    $R57,
    CategoryReviewData[category_name],
    CategoryReviewData[avg_review_score],
    ""
)</f>
        <v>4.38</v>
      </c>
      <c r="P57" s="21">
        <f>_xlfn.XLOOKUP(
    $R57,
    CategoryReviewData[category_name],
    CategoryReviewData[low_review_rate_pct],
    ""
)</f>
        <v>5.7500000000000002E-2</v>
      </c>
      <c r="Q57" s="21">
        <f>_xlfn.XLOOKUP(
    $R57,
    CategoryReviewData[category_name],
    CategoryReviewData[high_review_rate_pct],
    ""
)</f>
        <v>0.83629999999999993</v>
      </c>
      <c r="R57" s="1" t="s">
        <v>88</v>
      </c>
    </row>
    <row r="58" spans="1:18" x14ac:dyDescent="0.35">
      <c r="A58" s="2" t="str">
        <f>_xlfn.XLOOKUP(
    $R58,
    CategoryPerformanceData[category_name],
    CategoryPerformanceData[display_category],
    ""
)</f>
        <v>Fashion Male Clothing</v>
      </c>
      <c r="B58" s="15">
        <f>_xlfn.XLOOKUP(
    $R58,
    CategoryPerformanceData[category_name],
    CategoryPerformanceData[completed_orders],
    ""
)</f>
        <v>106</v>
      </c>
      <c r="C58" s="15">
        <f>_xlfn.XLOOKUP(
    $R58,
    CategoryPerformanceData[category_name],
    CategoryPerformanceData[items_sold],
    ""
)</f>
        <v>125</v>
      </c>
      <c r="D58" s="15">
        <f>_xlfn.XLOOKUP(
    $R58,
    CategoryPerformanceData[category_name],
    CategoryPerformanceData[products_sold],
    ""
)</f>
        <v>89</v>
      </c>
      <c r="E58" s="16">
        <f>_xlfn.XLOOKUP(
    $R58,
    CategoryPerformanceData[category_name],
    CategoryPerformanceData[item_sales_value],
    ""
)</f>
        <v>10452.33</v>
      </c>
      <c r="F58" s="17">
        <f>_xlfn.XLOOKUP(
    $R58,
    CategoryPerformanceData[category_name],
    CategoryPerformanceData[item_sales_value_share_pct],
    ""
)</f>
        <v>8.0000000000000004E-4</v>
      </c>
      <c r="G58" s="16">
        <f>_xlfn.XLOOKUP(
    $R58,
    CategoryPerformanceData[category_name],
    CategoryPerformanceData[avg_item_price],
    ""
)</f>
        <v>83.62</v>
      </c>
      <c r="H58" s="18">
        <f>_xlfn.XLOOKUP(
    $R58,
    CategoryGrowthData[category_name],
    CategoryGrowthData[item_sales_value_2017],
    ""
)</f>
        <v>4644.28</v>
      </c>
      <c r="I58" s="16">
        <f>_xlfn.XLOOKUP(
    $R58,
    CategoryGrowthData[category_name],
    CategoryGrowthData[item_sales_value_2018],
    ""
)</f>
        <v>2301.87</v>
      </c>
      <c r="J58" s="16">
        <f>_xlfn.XLOOKUP(
    $R58,
    CategoryGrowthData[category_name],
    CategoryGrowthData[item_sales_value_change],
    ""
)</f>
        <v>-2342.41</v>
      </c>
      <c r="K58" s="19">
        <f>_xlfn.LET(
    _xlpm.cat, $R58,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-0.50439999999999996</v>
      </c>
      <c r="L58" s="20">
        <f>_xlfn.XLOOKUP(
    $R58,
    CategoryGrowthData[category_name],
    CategoryGrowthData[marketplace_share_change_pp],
    ""
)</f>
        <v>-0.12</v>
      </c>
      <c r="M58" s="19">
        <f>_xlfn.XLOOKUP(
    $R58,
    CategoryGrowthData[category_name],
    CategoryGrowthData[contribution_to_sales_growth_pct],
    ""
)</f>
        <v>-5.9999999999999995E-4</v>
      </c>
      <c r="N58" s="15">
        <f>_xlfn.XLOOKUP(
    $R58,
    CategoryReviewData[category_name],
    CategoryReviewData[reviewed_orders],
    ""
)</f>
        <v>111</v>
      </c>
      <c r="O58" s="16">
        <f>_xlfn.XLOOKUP(
    $R58,
    CategoryReviewData[category_name],
    CategoryReviewData[avg_review_score],
    ""
)</f>
        <v>3.7</v>
      </c>
      <c r="P58" s="21">
        <f>_xlfn.XLOOKUP(
    $R58,
    CategoryReviewData[category_name],
    CategoryReviewData[low_review_rate_pct],
    ""
)</f>
        <v>0.26129999999999998</v>
      </c>
      <c r="Q58" s="21">
        <f>_xlfn.XLOOKUP(
    $R58,
    CategoryReviewData[category_name],
    CategoryReviewData[high_review_rate_pct],
    ""
)</f>
        <v>0.67569999999999997</v>
      </c>
      <c r="R58" s="1" t="s">
        <v>89</v>
      </c>
    </row>
    <row r="59" spans="1:18" x14ac:dyDescent="0.35">
      <c r="A59" s="2" t="str">
        <f>_xlfn.XLOOKUP(
    $R59,
    CategoryPerformanceData[category_name],
    CategoryPerformanceData[display_category],
    ""
)</f>
        <v>Fashion Underwear Beach</v>
      </c>
      <c r="B59" s="15">
        <f>_xlfn.XLOOKUP(
    $R59,
    CategoryPerformanceData[category_name],
    CategoryPerformanceData[completed_orders],
    ""
)</f>
        <v>117</v>
      </c>
      <c r="C59" s="15">
        <f>_xlfn.XLOOKUP(
    $R59,
    CategoryPerformanceData[category_name],
    CategoryPerformanceData[items_sold],
    ""
)</f>
        <v>127</v>
      </c>
      <c r="D59" s="15">
        <f>_xlfn.XLOOKUP(
    $R59,
    CategoryPerformanceData[category_name],
    CategoryPerformanceData[products_sold],
    ""
)</f>
        <v>52</v>
      </c>
      <c r="E59" s="16">
        <f>_xlfn.XLOOKUP(
    $R59,
    CategoryPerformanceData[category_name],
    CategoryPerformanceData[item_sales_value],
    ""
)</f>
        <v>9305.9500000000007</v>
      </c>
      <c r="F59" s="17">
        <f>_xlfn.XLOOKUP(
    $R59,
    CategoryPerformanceData[category_name],
    CategoryPerformanceData[item_sales_value_share_pct],
    ""
)</f>
        <v>7.000000000000001E-4</v>
      </c>
      <c r="G59" s="16">
        <f>_xlfn.XLOOKUP(
    $R59,
    CategoryPerformanceData[category_name],
    CategoryPerformanceData[avg_item_price],
    ""
)</f>
        <v>73.28</v>
      </c>
      <c r="H59" s="18">
        <f>_xlfn.XLOOKUP(
    $R59,
    CategoryGrowthData[category_name],
    CategoryGrowthData[item_sales_value_2017],
    ""
)</f>
        <v>2694.45</v>
      </c>
      <c r="I59" s="16">
        <f>_xlfn.XLOOKUP(
    $R59,
    CategoryGrowthData[category_name],
    CategoryGrowthData[item_sales_value_2018],
    ""
)</f>
        <v>2409.1</v>
      </c>
      <c r="J59" s="16">
        <f>_xlfn.XLOOKUP(
    $R59,
    CategoryGrowthData[category_name],
    CategoryGrowthData[item_sales_value_change],
    ""
)</f>
        <v>-285.35000000000002</v>
      </c>
      <c r="K59" s="19">
        <f>_xlfn.LET(
    _xlpm.cat, $R59,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-0.10589999999999999</v>
      </c>
      <c r="L59" s="20">
        <f>_xlfn.XLOOKUP(
    $R59,
    CategoryGrowthData[category_name],
    CategoryGrowthData[marketplace_share_change_pp],
    ""
)</f>
        <v>-0.06</v>
      </c>
      <c r="M59" s="19">
        <f>_xlfn.XLOOKUP(
    $R59,
    CategoryGrowthData[category_name],
    CategoryGrowthData[contribution_to_sales_growth_pct],
    ""
)</f>
        <v>-1E-4</v>
      </c>
      <c r="N59" s="15">
        <f>_xlfn.XLOOKUP(
    $R59,
    CategoryReviewData[category_name],
    CategoryReviewData[reviewed_orders],
    ""
)</f>
        <v>120</v>
      </c>
      <c r="O59" s="16">
        <f>_xlfn.XLOOKUP(
    $R59,
    CategoryReviewData[category_name],
    CategoryReviewData[avg_review_score],
    ""
)</f>
        <v>3.93</v>
      </c>
      <c r="P59" s="21">
        <f>_xlfn.XLOOKUP(
    $R59,
    CategoryReviewData[category_name],
    CategoryReviewData[low_review_rate_pct],
    ""
)</f>
        <v>0.18329999999999999</v>
      </c>
      <c r="Q59" s="21">
        <f>_xlfn.XLOOKUP(
    $R59,
    CategoryReviewData[category_name],
    CategoryReviewData[high_review_rate_pct],
    ""
)</f>
        <v>0.74170000000000003</v>
      </c>
      <c r="R59" s="1" t="s">
        <v>90</v>
      </c>
    </row>
    <row r="60" spans="1:18" x14ac:dyDescent="0.35">
      <c r="A60" s="2" t="str">
        <f>_xlfn.XLOOKUP(
    $R60,
    CategoryPerformanceData[category_name],
    CategoryPerformanceData[display_category],
    ""
)</f>
        <v>Christmas Supplies</v>
      </c>
      <c r="B60" s="15">
        <f>_xlfn.XLOOKUP(
    $R60,
    CategoryPerformanceData[category_name],
    CategoryPerformanceData[completed_orders],
    ""
)</f>
        <v>125</v>
      </c>
      <c r="C60" s="15">
        <f>_xlfn.XLOOKUP(
    $R60,
    CategoryPerformanceData[category_name],
    CategoryPerformanceData[items_sold],
    ""
)</f>
        <v>150</v>
      </c>
      <c r="D60" s="15">
        <f>_xlfn.XLOOKUP(
    $R60,
    CategoryPerformanceData[category_name],
    CategoryPerformanceData[products_sold],
    ""
)</f>
        <v>63</v>
      </c>
      <c r="E60" s="16">
        <f>_xlfn.XLOOKUP(
    $R60,
    CategoryPerformanceData[category_name],
    CategoryPerformanceData[item_sales_value],
    ""
)</f>
        <v>8737.84</v>
      </c>
      <c r="F60" s="17">
        <f>_xlfn.XLOOKUP(
    $R60,
    CategoryPerformanceData[category_name],
    CategoryPerformanceData[item_sales_value_share_pct],
    ""
)</f>
        <v>7.000000000000001E-4</v>
      </c>
      <c r="G60" s="16">
        <f>_xlfn.XLOOKUP(
    $R60,
    CategoryPerformanceData[category_name],
    CategoryPerformanceData[avg_item_price],
    ""
)</f>
        <v>58.25</v>
      </c>
      <c r="H60" s="18">
        <f>_xlfn.XLOOKUP(
    $R60,
    CategoryGrowthData[category_name],
    CategoryGrowthData[item_sales_value_2017],
    ""
)</f>
        <v>377.69</v>
      </c>
      <c r="I60" s="16">
        <f>_xlfn.XLOOKUP(
    $R60,
    CategoryGrowthData[category_name],
    CategoryGrowthData[item_sales_value_2018],
    ""
)</f>
        <v>5910.9</v>
      </c>
      <c r="J60" s="16">
        <f>_xlfn.XLOOKUP(
    $R60,
    CategoryGrowthData[category_name],
    CategoryGrowthData[item_sales_value_change],
    ""
)</f>
        <v>5533.21</v>
      </c>
      <c r="K60" s="19">
        <f>_xlfn.LET(
    _xlpm.cat, $R60,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14.6501</v>
      </c>
      <c r="L60" s="20">
        <f>_xlfn.XLOOKUP(
    $R60,
    CategoryGrowthData[category_name],
    CategoryGrowthData[marketplace_share_change_pp],
    ""
)</f>
        <v>7.0000000000000007E-2</v>
      </c>
      <c r="M60" s="19">
        <f>_xlfn.XLOOKUP(
    $R60,
    CategoryGrowthData[category_name],
    CategoryGrowthData[contribution_to_sales_growth_pct],
    ""
)</f>
        <v>1.2999999999999999E-3</v>
      </c>
      <c r="N60" s="15">
        <f>_xlfn.XLOOKUP(
    $R60,
    CategoryReviewData[category_name],
    CategoryReviewData[reviewed_orders],
    ""
)</f>
        <v>126</v>
      </c>
      <c r="O60" s="16">
        <f>_xlfn.XLOOKUP(
    $R60,
    CategoryReviewData[category_name],
    CategoryReviewData[avg_review_score],
    ""
)</f>
        <v>4.0599999999999996</v>
      </c>
      <c r="P60" s="21">
        <f>_xlfn.XLOOKUP(
    $R60,
    CategoryReviewData[category_name],
    CategoryReviewData[low_review_rate_pct],
    ""
)</f>
        <v>0.127</v>
      </c>
      <c r="Q60" s="21">
        <f>_xlfn.XLOOKUP(
    $R60,
    CategoryReviewData[category_name],
    CategoryReviewData[high_review_rate_pct],
    ""
)</f>
        <v>0.77780000000000005</v>
      </c>
      <c r="R60" s="1" t="s">
        <v>91</v>
      </c>
    </row>
    <row r="61" spans="1:18" x14ac:dyDescent="0.35">
      <c r="A61" s="2" t="str">
        <f>_xlfn.XLOOKUP(
    $R61,
    CategoryPerformanceData[category_name],
    CategoryPerformanceData[display_category],
    ""
)</f>
        <v>Tablets Printing Image</v>
      </c>
      <c r="B61" s="15">
        <f>_xlfn.XLOOKUP(
    $R61,
    CategoryPerformanceData[category_name],
    CategoryPerformanceData[completed_orders],
    ""
)</f>
        <v>79</v>
      </c>
      <c r="C61" s="15">
        <f>_xlfn.XLOOKUP(
    $R61,
    CategoryPerformanceData[category_name],
    CategoryPerformanceData[items_sold],
    ""
)</f>
        <v>83</v>
      </c>
      <c r="D61" s="15">
        <f>_xlfn.XLOOKUP(
    $R61,
    CategoryPerformanceData[category_name],
    CategoryPerformanceData[products_sold],
    ""
)</f>
        <v>9</v>
      </c>
      <c r="E61" s="16">
        <f>_xlfn.XLOOKUP(
    $R61,
    CategoryPerformanceData[category_name],
    CategoryPerformanceData[item_sales_value],
    ""
)</f>
        <v>7528.41</v>
      </c>
      <c r="F61" s="17">
        <f>_xlfn.XLOOKUP(
    $R61,
    CategoryPerformanceData[category_name],
    CategoryPerformanceData[item_sales_value_share_pct],
    ""
)</f>
        <v>5.9999999999999995E-4</v>
      </c>
      <c r="G61" s="16">
        <f>_xlfn.XLOOKUP(
    $R61,
    CategoryPerformanceData[category_name],
    CategoryPerformanceData[avg_item_price],
    ""
)</f>
        <v>90.7</v>
      </c>
      <c r="H61" s="18">
        <f>_xlfn.XLOOKUP(
    $R61,
    CategoryGrowthData[category_name],
    CategoryGrowthData[item_sales_value_2017],
    ""
)</f>
        <v>5157.75</v>
      </c>
      <c r="I61" s="16">
        <f>_xlfn.XLOOKUP(
    $R61,
    CategoryGrowthData[category_name],
    CategoryGrowthData[item_sales_value_2018],
    ""
)</f>
        <v>1267.96</v>
      </c>
      <c r="J61" s="16">
        <f>_xlfn.XLOOKUP(
    $R61,
    CategoryGrowthData[category_name],
    CategoryGrowthData[item_sales_value_change],
    ""
)</f>
        <v>-3889.79</v>
      </c>
      <c r="K61" s="19">
        <f>_xlfn.LET(
    _xlpm.cat, $R61,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-0.75419999999999998</v>
      </c>
      <c r="L61" s="20">
        <f>_xlfn.XLOOKUP(
    $R61,
    CategoryGrowthData[category_name],
    CategoryGrowthData[marketplace_share_change_pp],
    ""
)</f>
        <v>-0.15</v>
      </c>
      <c r="M61" s="19">
        <f>_xlfn.XLOOKUP(
    $R61,
    CategoryGrowthData[category_name],
    CategoryGrowthData[contribution_to_sales_growth_pct],
    ""
)</f>
        <v>-8.9999999999999998E-4</v>
      </c>
      <c r="N61" s="15">
        <f>_xlfn.XLOOKUP(
    $R61,
    CategoryReviewData[category_name],
    CategoryReviewData[reviewed_orders],
    ""
)</f>
        <v>77</v>
      </c>
      <c r="O61" s="16">
        <f>_xlfn.XLOOKUP(
    $R61,
    CategoryReviewData[category_name],
    CategoryReviewData[avg_review_score],
    ""
)</f>
        <v>4.16</v>
      </c>
      <c r="P61" s="21">
        <f>_xlfn.XLOOKUP(
    $R61,
    CategoryReviewData[category_name],
    CategoryReviewData[low_review_rate_pct],
    ""
)</f>
        <v>0.12990000000000002</v>
      </c>
      <c r="Q61" s="21">
        <f>_xlfn.XLOOKUP(
    $R61,
    CategoryReviewData[category_name],
    CategoryReviewData[high_review_rate_pct],
    ""
)</f>
        <v>0.80519999999999992</v>
      </c>
      <c r="R61" s="1" t="s">
        <v>92</v>
      </c>
    </row>
    <row r="62" spans="1:18" x14ac:dyDescent="0.35">
      <c r="A62" s="2" t="str">
        <f>_xlfn.XLOOKUP(
    $R62,
    CategoryPerformanceData[category_name],
    CategoryPerformanceData[display_category],
    ""
)</f>
        <v>Cine Photo</v>
      </c>
      <c r="B62" s="15">
        <f>_xlfn.XLOOKUP(
    $R62,
    CategoryPerformanceData[category_name],
    CategoryPerformanceData[completed_orders],
    ""
)</f>
        <v>63</v>
      </c>
      <c r="C62" s="15">
        <f>_xlfn.XLOOKUP(
    $R62,
    CategoryPerformanceData[category_name],
    CategoryPerformanceData[items_sold],
    ""
)</f>
        <v>70</v>
      </c>
      <c r="D62" s="15">
        <f>_xlfn.XLOOKUP(
    $R62,
    CategoryPerformanceData[category_name],
    CategoryPerformanceData[products_sold],
    ""
)</f>
        <v>26</v>
      </c>
      <c r="E62" s="16">
        <f>_xlfn.XLOOKUP(
    $R62,
    CategoryPerformanceData[category_name],
    CategoryPerformanceData[item_sales_value],
    ""
)</f>
        <v>6674.47</v>
      </c>
      <c r="F62" s="17">
        <f>_xlfn.XLOOKUP(
    $R62,
    CategoryPerformanceData[category_name],
    CategoryPerformanceData[item_sales_value_share_pct],
    ""
)</f>
        <v>5.0000000000000001E-4</v>
      </c>
      <c r="G62" s="16">
        <f>_xlfn.XLOOKUP(
    $R62,
    CategoryPerformanceData[category_name],
    CategoryPerformanceData[avg_item_price],
    ""
)</f>
        <v>95.35</v>
      </c>
      <c r="H62" s="18">
        <f>_xlfn.XLOOKUP(
    $R62,
    CategoryGrowthData[category_name],
    CategoryGrowthData[item_sales_value_2017],
    ""
)</f>
        <v>315</v>
      </c>
      <c r="I62" s="16">
        <f>_xlfn.XLOOKUP(
    $R62,
    CategoryGrowthData[category_name],
    CategoryGrowthData[item_sales_value_2018],
    ""
)</f>
        <v>5979.47</v>
      </c>
      <c r="J62" s="16">
        <f>_xlfn.XLOOKUP(
    $R62,
    CategoryGrowthData[category_name],
    CategoryGrowthData[item_sales_value_change],
    ""
)</f>
        <v>5664.47</v>
      </c>
      <c r="K62" s="19">
        <f>_xlfn.LET(
    _xlpm.cat, $R62,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17.982399999999998</v>
      </c>
      <c r="L62" s="20">
        <f>_xlfn.XLOOKUP(
    $R62,
    CategoryGrowthData[category_name],
    CategoryGrowthData[marketplace_share_change_pp],
    ""
)</f>
        <v>7.0000000000000007E-2</v>
      </c>
      <c r="M62" s="19">
        <f>_xlfn.XLOOKUP(
    $R62,
    CategoryGrowthData[category_name],
    CategoryGrowthData[contribution_to_sales_growth_pct],
    ""
)</f>
        <v>1.2999999999999999E-3</v>
      </c>
      <c r="N62" s="15">
        <f>_xlfn.XLOOKUP(
    $R62,
    CategoryReviewData[category_name],
    CategoryReviewData[reviewed_orders],
    ""
)</f>
        <v>65</v>
      </c>
      <c r="O62" s="16">
        <f>_xlfn.XLOOKUP(
    $R62,
    CategoryReviewData[category_name],
    CategoryReviewData[avg_review_score],
    ""
)</f>
        <v>4.2300000000000004</v>
      </c>
      <c r="P62" s="21">
        <f>_xlfn.XLOOKUP(
    $R62,
    CategoryReviewData[category_name],
    CategoryReviewData[low_review_rate_pct],
    ""
)</f>
        <v>0.13849999999999998</v>
      </c>
      <c r="Q62" s="21">
        <f>_xlfn.XLOOKUP(
    $R62,
    CategoryReviewData[category_name],
    CategoryReviewData[high_review_rate_pct],
    ""
)</f>
        <v>0.78459999999999996</v>
      </c>
      <c r="R62" s="1" t="s">
        <v>93</v>
      </c>
    </row>
    <row r="63" spans="1:18" x14ac:dyDescent="0.35">
      <c r="A63" s="2" t="str">
        <f>_xlfn.XLOOKUP(
    $R63,
    CategoryPerformanceData[category_name],
    CategoryPerformanceData[display_category],
    ""
)</f>
        <v>Music</v>
      </c>
      <c r="B63" s="15">
        <f>_xlfn.XLOOKUP(
    $R63,
    CategoryPerformanceData[category_name],
    CategoryPerformanceData[completed_orders],
    ""
)</f>
        <v>38</v>
      </c>
      <c r="C63" s="15">
        <f>_xlfn.XLOOKUP(
    $R63,
    CategoryPerformanceData[category_name],
    CategoryPerformanceData[items_sold],
    ""
)</f>
        <v>38</v>
      </c>
      <c r="D63" s="15">
        <f>_xlfn.XLOOKUP(
    $R63,
    CategoryPerformanceData[category_name],
    CategoryPerformanceData[products_sold],
    ""
)</f>
        <v>27</v>
      </c>
      <c r="E63" s="16">
        <f>_xlfn.XLOOKUP(
    $R63,
    CategoryPerformanceData[category_name],
    CategoryPerformanceData[item_sales_value],
    ""
)</f>
        <v>6034.35</v>
      </c>
      <c r="F63" s="17">
        <f>_xlfn.XLOOKUP(
    $R63,
    CategoryPerformanceData[category_name],
    CategoryPerformanceData[item_sales_value_share_pct],
    ""
)</f>
        <v>5.0000000000000001E-4</v>
      </c>
      <c r="G63" s="16">
        <f>_xlfn.XLOOKUP(
    $R63,
    CategoryPerformanceData[category_name],
    CategoryPerformanceData[avg_item_price],
    ""
)</f>
        <v>158.80000000000001</v>
      </c>
      <c r="H63" s="18">
        <f>_xlfn.XLOOKUP(
    $R63,
    CategoryGrowthData[category_name],
    CategoryGrowthData[item_sales_value_2017],
    ""
)</f>
        <v>1503.49</v>
      </c>
      <c r="I63" s="16">
        <f>_xlfn.XLOOKUP(
    $R63,
    CategoryGrowthData[category_name],
    CategoryGrowthData[item_sales_value_2018],
    ""
)</f>
        <v>4475.96</v>
      </c>
      <c r="J63" s="16">
        <f>_xlfn.XLOOKUP(
    $R63,
    CategoryGrowthData[category_name],
    CategoryGrowthData[item_sales_value_change],
    ""
)</f>
        <v>2972.47</v>
      </c>
      <c r="K63" s="19">
        <f>_xlfn.LET(
    _xlpm.cat, $R63,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1.9769999999999999</v>
      </c>
      <c r="L63" s="20">
        <f>_xlfn.XLOOKUP(
    $R63,
    CategoryGrowthData[category_name],
    CategoryGrowthData[marketplace_share_change_pp],
    ""
)</f>
        <v>0.01</v>
      </c>
      <c r="M63" s="19">
        <f>_xlfn.XLOOKUP(
    $R63,
    CategoryGrowthData[category_name],
    CategoryGrowthData[contribution_to_sales_growth_pct],
    ""
)</f>
        <v>7.000000000000001E-4</v>
      </c>
      <c r="N63" s="15">
        <f>_xlfn.XLOOKUP(
    $R63,
    CategoryReviewData[category_name],
    CategoryReviewData[reviewed_orders],
    ""
)</f>
        <v>38</v>
      </c>
      <c r="O63" s="16">
        <f>_xlfn.XLOOKUP(
    $R63,
    CategoryReviewData[category_name],
    CategoryReviewData[avg_review_score],
    ""
)</f>
        <v>4.21</v>
      </c>
      <c r="P63" s="21">
        <f>_xlfn.XLOOKUP(
    $R63,
    CategoryReviewData[category_name],
    CategoryReviewData[low_review_rate_pct],
    ""
)</f>
        <v>0.10529999999999999</v>
      </c>
      <c r="Q63" s="21">
        <f>_xlfn.XLOOKUP(
    $R63,
    CategoryReviewData[category_name],
    CategoryReviewData[high_review_rate_pct],
    ""
)</f>
        <v>0.78949999999999998</v>
      </c>
      <c r="R63" s="1" t="s">
        <v>94</v>
      </c>
    </row>
    <row r="64" spans="1:18" x14ac:dyDescent="0.35">
      <c r="A64" s="2" t="str">
        <f>_xlfn.XLOOKUP(
    $R64,
    CategoryPerformanceData[category_name],
    CategoryPerformanceData[display_category],
    ""
)</f>
        <v>Dvds Blu Ray</v>
      </c>
      <c r="B64" s="15">
        <f>_xlfn.XLOOKUP(
    $R64,
    CategoryPerformanceData[category_name],
    CategoryPerformanceData[completed_orders],
    ""
)</f>
        <v>56</v>
      </c>
      <c r="C64" s="15">
        <f>_xlfn.XLOOKUP(
    $R64,
    CategoryPerformanceData[category_name],
    CategoryPerformanceData[items_sold],
    ""
)</f>
        <v>61</v>
      </c>
      <c r="D64" s="15">
        <f>_xlfn.XLOOKUP(
    $R64,
    CategoryPerformanceData[category_name],
    CategoryPerformanceData[products_sold],
    ""
)</f>
        <v>46</v>
      </c>
      <c r="E64" s="16">
        <f>_xlfn.XLOOKUP(
    $R64,
    CategoryPerformanceData[category_name],
    CategoryPerformanceData[item_sales_value],
    ""
)</f>
        <v>4542.59</v>
      </c>
      <c r="F64" s="17">
        <f>_xlfn.XLOOKUP(
    $R64,
    CategoryPerformanceData[category_name],
    CategoryPerformanceData[item_sales_value_share_pct],
    ""
)</f>
        <v>2.9999999999999997E-4</v>
      </c>
      <c r="G64" s="16">
        <f>_xlfn.XLOOKUP(
    $R64,
    CategoryPerformanceData[category_name],
    CategoryPerformanceData[avg_item_price],
    ""
)</f>
        <v>74.47</v>
      </c>
      <c r="H64" s="18">
        <f>_xlfn.XLOOKUP(
    $R64,
    CategoryGrowthData[category_name],
    CategoryGrowthData[item_sales_value_2017],
    ""
)</f>
        <v>2995.79</v>
      </c>
      <c r="I64" s="16">
        <f>_xlfn.XLOOKUP(
    $R64,
    CategoryGrowthData[category_name],
    CategoryGrowthData[item_sales_value_2018],
    ""
)</f>
        <v>1132.71</v>
      </c>
      <c r="J64" s="16">
        <f>_xlfn.XLOOKUP(
    $R64,
    CategoryGrowthData[category_name],
    CategoryGrowthData[item_sales_value_change],
    ""
)</f>
        <v>-1863.08</v>
      </c>
      <c r="K64" s="19">
        <f>_xlfn.LET(
    _xlpm.cat, $R64,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-0.62190000000000001</v>
      </c>
      <c r="L64" s="20">
        <f>_xlfn.XLOOKUP(
    $R64,
    CategoryGrowthData[category_name],
    CategoryGrowthData[marketplace_share_change_pp],
    ""
)</f>
        <v>-0.08</v>
      </c>
      <c r="M64" s="19">
        <f>_xlfn.XLOOKUP(
    $R64,
    CategoryGrowthData[category_name],
    CategoryGrowthData[contribution_to_sales_growth_pct],
    ""
)</f>
        <v>-4.0000000000000002E-4</v>
      </c>
      <c r="N64" s="15">
        <f>_xlfn.XLOOKUP(
    $R64,
    CategoryReviewData[category_name],
    CategoryReviewData[reviewed_orders],
    ""
)</f>
        <v>58</v>
      </c>
      <c r="O64" s="16">
        <f>_xlfn.XLOOKUP(
    $R64,
    CategoryReviewData[category_name],
    CategoryReviewData[avg_review_score],
    ""
)</f>
        <v>4.09</v>
      </c>
      <c r="P64" s="21">
        <f>_xlfn.XLOOKUP(
    $R64,
    CategoryReviewData[category_name],
    CategoryReviewData[low_review_rate_pct],
    ""
)</f>
        <v>0.1724</v>
      </c>
      <c r="Q64" s="21">
        <f>_xlfn.XLOOKUP(
    $R64,
    CategoryReviewData[category_name],
    CategoryReviewData[high_review_rate_pct],
    ""
)</f>
        <v>0.81030000000000002</v>
      </c>
      <c r="R64" s="1" t="s">
        <v>95</v>
      </c>
    </row>
    <row r="65" spans="1:18" x14ac:dyDescent="0.35">
      <c r="A65" s="2" t="str">
        <f>_xlfn.XLOOKUP(
    $R65,
    CategoryPerformanceData[category_name],
    CategoryPerformanceData[display_category],
    ""
)</f>
        <v>Party Supplies</v>
      </c>
      <c r="B65" s="15">
        <f>_xlfn.XLOOKUP(
    $R65,
    CategoryPerformanceData[category_name],
    CategoryPerformanceData[completed_orders],
    ""
)</f>
        <v>38</v>
      </c>
      <c r="C65" s="15">
        <f>_xlfn.XLOOKUP(
    $R65,
    CategoryPerformanceData[category_name],
    CategoryPerformanceData[items_sold],
    ""
)</f>
        <v>42</v>
      </c>
      <c r="D65" s="15">
        <f>_xlfn.XLOOKUP(
    $R65,
    CategoryPerformanceData[category_name],
    CategoryPerformanceData[products_sold],
    ""
)</f>
        <v>25</v>
      </c>
      <c r="E65" s="16">
        <f>_xlfn.XLOOKUP(
    $R65,
    CategoryPerformanceData[category_name],
    CategoryPerformanceData[item_sales_value],
    ""
)</f>
        <v>4465.1899999999996</v>
      </c>
      <c r="F65" s="17">
        <f>_xlfn.XLOOKUP(
    $R65,
    CategoryPerformanceData[category_name],
    CategoryPerformanceData[item_sales_value_share_pct],
    ""
)</f>
        <v>2.9999999999999997E-4</v>
      </c>
      <c r="G65" s="16">
        <f>_xlfn.XLOOKUP(
    $R65,
    CategoryPerformanceData[category_name],
    CategoryPerformanceData[avg_item_price],
    ""
)</f>
        <v>106.31</v>
      </c>
      <c r="H65" s="18">
        <f>_xlfn.XLOOKUP(
    $R65,
    CategoryGrowthData[category_name],
    CategoryGrowthData[item_sales_value_2017],
    ""
)</f>
        <v>69.900000000000006</v>
      </c>
      <c r="I65" s="16">
        <f>_xlfn.XLOOKUP(
    $R65,
    CategoryGrowthData[category_name],
    CategoryGrowthData[item_sales_value_2018],
    ""
)</f>
        <v>2621.79</v>
      </c>
      <c r="J65" s="16">
        <f>_xlfn.XLOOKUP(
    $R65,
    CategoryGrowthData[category_name],
    CategoryGrowthData[item_sales_value_change],
    ""
)</f>
        <v>2551.89</v>
      </c>
      <c r="K65" s="19">
        <f>_xlfn.LET(
    _xlpm.cat, $R65,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36.5077</v>
      </c>
      <c r="L65" s="20">
        <f>_xlfn.XLOOKUP(
    $R65,
    CategoryGrowthData[category_name],
    CategoryGrowthData[marketplace_share_change_pp],
    ""
)</f>
        <v>0.03</v>
      </c>
      <c r="M65" s="19">
        <f>_xlfn.XLOOKUP(
    $R65,
    CategoryGrowthData[category_name],
    CategoryGrowthData[contribution_to_sales_growth_pct],
    ""
)</f>
        <v>5.9999999999999995E-4</v>
      </c>
      <c r="N65" s="15">
        <f>_xlfn.XLOOKUP(
    $R65,
    CategoryReviewData[category_name],
    CategoryReviewData[reviewed_orders],
    ""
)</f>
        <v>39</v>
      </c>
      <c r="O65" s="16">
        <f>_xlfn.XLOOKUP(
    $R65,
    CategoryReviewData[category_name],
    CategoryReviewData[avg_review_score],
    ""
)</f>
        <v>4</v>
      </c>
      <c r="P65" s="21">
        <f>_xlfn.XLOOKUP(
    $R65,
    CategoryReviewData[category_name],
    CategoryReviewData[low_review_rate_pct],
    ""
)</f>
        <v>0.17949999999999999</v>
      </c>
      <c r="Q65" s="21">
        <f>_xlfn.XLOOKUP(
    $R65,
    CategoryReviewData[category_name],
    CategoryReviewData[high_review_rate_pct],
    ""
)</f>
        <v>0.71790000000000009</v>
      </c>
      <c r="R65" s="1" t="s">
        <v>96</v>
      </c>
    </row>
    <row r="66" spans="1:18" x14ac:dyDescent="0.35">
      <c r="A66" s="2" t="str">
        <f>_xlfn.XLOOKUP(
    $R66,
    CategoryPerformanceData[category_name],
    CategoryPerformanceData[display_category],
    ""
)</f>
        <v>Books Imported</v>
      </c>
      <c r="B66" s="15">
        <f>_xlfn.XLOOKUP(
    $R66,
    CategoryPerformanceData[category_name],
    CategoryPerformanceData[completed_orders],
    ""
)</f>
        <v>50</v>
      </c>
      <c r="C66" s="15">
        <f>_xlfn.XLOOKUP(
    $R66,
    CategoryPerformanceData[category_name],
    CategoryPerformanceData[items_sold],
    ""
)</f>
        <v>57</v>
      </c>
      <c r="D66" s="15">
        <f>_xlfn.XLOOKUP(
    $R66,
    CategoryPerformanceData[category_name],
    CategoryPerformanceData[products_sold],
    ""
)</f>
        <v>30</v>
      </c>
      <c r="E66" s="16">
        <f>_xlfn.XLOOKUP(
    $R66,
    CategoryPerformanceData[category_name],
    CategoryPerformanceData[item_sales_value],
    ""
)</f>
        <v>4418.8599999999997</v>
      </c>
      <c r="F66" s="17">
        <f>_xlfn.XLOOKUP(
    $R66,
    CategoryPerformanceData[category_name],
    CategoryPerformanceData[item_sales_value_share_pct],
    ""
)</f>
        <v>2.9999999999999997E-4</v>
      </c>
      <c r="G66" s="16">
        <f>_xlfn.XLOOKUP(
    $R66,
    CategoryPerformanceData[category_name],
    CategoryPerformanceData[avg_item_price],
    ""
)</f>
        <v>77.52</v>
      </c>
      <c r="H66" s="18">
        <f>_xlfn.XLOOKUP(
    $R66,
    CategoryGrowthData[category_name],
    CategoryGrowthData[item_sales_value_2017],
    ""
)</f>
        <v>179.99</v>
      </c>
      <c r="I66" s="16">
        <f>_xlfn.XLOOKUP(
    $R66,
    CategoryGrowthData[category_name],
    CategoryGrowthData[item_sales_value_2018],
    ""
)</f>
        <v>3470.87</v>
      </c>
      <c r="J66" s="16">
        <f>_xlfn.XLOOKUP(
    $R66,
    CategoryGrowthData[category_name],
    CategoryGrowthData[item_sales_value_change],
    ""
)</f>
        <v>3290.88</v>
      </c>
      <c r="K66" s="19">
        <f>_xlfn.LET(
    _xlpm.cat, $R66,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18.2837</v>
      </c>
      <c r="L66" s="20">
        <f>_xlfn.XLOOKUP(
    $R66,
    CategoryGrowthData[category_name],
    CategoryGrowthData[marketplace_share_change_pp],
    ""
)</f>
        <v>0.04</v>
      </c>
      <c r="M66" s="19">
        <f>_xlfn.XLOOKUP(
    $R66,
    CategoryGrowthData[category_name],
    CategoryGrowthData[contribution_to_sales_growth_pct],
    ""
)</f>
        <v>8.0000000000000004E-4</v>
      </c>
      <c r="N66" s="15">
        <f>_xlfn.XLOOKUP(
    $R66,
    CategoryReviewData[category_name],
    CategoryReviewData[reviewed_orders],
    ""
)</f>
        <v>53</v>
      </c>
      <c r="O66" s="16">
        <f>_xlfn.XLOOKUP(
    $R66,
    CategoryReviewData[category_name],
    CategoryReviewData[avg_review_score],
    ""
)</f>
        <v>4.32</v>
      </c>
      <c r="P66" s="21">
        <f>_xlfn.XLOOKUP(
    $R66,
    CategoryReviewData[category_name],
    CategoryReviewData[low_review_rate_pct],
    ""
)</f>
        <v>0.1321</v>
      </c>
      <c r="Q66" s="21">
        <f>_xlfn.XLOOKUP(
    $R66,
    CategoryReviewData[category_name],
    CategoryReviewData[high_review_rate_pct],
    ""
)</f>
        <v>0.83019999999999994</v>
      </c>
      <c r="R66" s="1" t="s">
        <v>97</v>
      </c>
    </row>
    <row r="67" spans="1:18" x14ac:dyDescent="0.35">
      <c r="A67" s="2" t="str">
        <f>_xlfn.XLOOKUP(
    $R67,
    CategoryPerformanceData[category_name],
    CategoryPerformanceData[display_category],
    ""
)</f>
        <v>Furniture Mattress And Upholstery</v>
      </c>
      <c r="B67" s="15">
        <f>_xlfn.XLOOKUP(
    $R67,
    CategoryPerformanceData[category_name],
    CategoryPerformanceData[completed_orders],
    ""
)</f>
        <v>37</v>
      </c>
      <c r="C67" s="15">
        <f>_xlfn.XLOOKUP(
    $R67,
    CategoryPerformanceData[category_name],
    CategoryPerformanceData[items_sold],
    ""
)</f>
        <v>37</v>
      </c>
      <c r="D67" s="15">
        <f>_xlfn.XLOOKUP(
    $R67,
    CategoryPerformanceData[category_name],
    CategoryPerformanceData[products_sold],
    ""
)</f>
        <v>10</v>
      </c>
      <c r="E67" s="16">
        <f>_xlfn.XLOOKUP(
    $R67,
    CategoryPerformanceData[category_name],
    CategoryPerformanceData[item_sales_value],
    ""
)</f>
        <v>4323.38</v>
      </c>
      <c r="F67" s="17">
        <f>_xlfn.XLOOKUP(
    $R67,
    CategoryPerformanceData[category_name],
    CategoryPerformanceData[item_sales_value_share_pct],
    ""
)</f>
        <v>2.9999999999999997E-4</v>
      </c>
      <c r="G67" s="16">
        <f>_xlfn.XLOOKUP(
    $R67,
    CategoryPerformanceData[category_name],
    CategoryPerformanceData[avg_item_price],
    ""
)</f>
        <v>116.85</v>
      </c>
      <c r="H67" s="18">
        <f>_xlfn.XLOOKUP(
    $R67,
    CategoryGrowthData[category_name],
    CategoryGrowthData[item_sales_value_2017],
    ""
)</f>
        <v>1324.08</v>
      </c>
      <c r="I67" s="16">
        <f>_xlfn.XLOOKUP(
    $R67,
    CategoryGrowthData[category_name],
    CategoryGrowthData[item_sales_value_2018],
    ""
)</f>
        <v>1775.1</v>
      </c>
      <c r="J67" s="16">
        <f>_xlfn.XLOOKUP(
    $R67,
    CategoryGrowthData[category_name],
    CategoryGrowthData[item_sales_value_change],
    ""
)</f>
        <v>451.02</v>
      </c>
      <c r="K67" s="19">
        <f>_xlfn.LET(
    _xlpm.cat, $R67,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0.34060000000000001</v>
      </c>
      <c r="L67" s="20">
        <f>_xlfn.XLOOKUP(
    $R67,
    CategoryGrowthData[category_name],
    CategoryGrowthData[marketplace_share_change_pp],
    ""
)</f>
        <v>-0.02</v>
      </c>
      <c r="M67" s="19">
        <f>_xlfn.XLOOKUP(
    $R67,
    CategoryGrowthData[category_name],
    CategoryGrowthData[contribution_to_sales_growth_pct],
    ""
)</f>
        <v>1E-4</v>
      </c>
      <c r="N67" s="15">
        <f>_xlfn.XLOOKUP(
    $R67,
    CategoryReviewData[category_name],
    CategoryReviewData[reviewed_orders],
    ""
)</f>
        <v>38</v>
      </c>
      <c r="O67" s="16">
        <f>_xlfn.XLOOKUP(
    $R67,
    CategoryReviewData[category_name],
    CategoryReviewData[avg_review_score],
    ""
)</f>
        <v>3.82</v>
      </c>
      <c r="P67" s="21">
        <f>_xlfn.XLOOKUP(
    $R67,
    CategoryReviewData[category_name],
    CategoryReviewData[low_review_rate_pct],
    ""
)</f>
        <v>0.21050000000000002</v>
      </c>
      <c r="Q67" s="21">
        <f>_xlfn.XLOOKUP(
    $R67,
    CategoryReviewData[category_name],
    CategoryReviewData[high_review_rate_pct],
    ""
)</f>
        <v>0.71050000000000002</v>
      </c>
      <c r="R67" s="1" t="s">
        <v>98</v>
      </c>
    </row>
    <row r="68" spans="1:18" x14ac:dyDescent="0.35">
      <c r="A68" s="2" t="str">
        <f>_xlfn.XLOOKUP(
    $R68,
    CategoryPerformanceData[category_name],
    CategoryPerformanceData[display_category],
    ""
)</f>
        <v>Portateis Cozinha E Preparadores De Alimentos</v>
      </c>
      <c r="B68" s="15">
        <f>_xlfn.XLOOKUP(
    $R68,
    CategoryPerformanceData[category_name],
    CategoryPerformanceData[completed_orders],
    ""
)</f>
        <v>13</v>
      </c>
      <c r="C68" s="15">
        <f>_xlfn.XLOOKUP(
    $R68,
    CategoryPerformanceData[category_name],
    CategoryPerformanceData[items_sold],
    ""
)</f>
        <v>14</v>
      </c>
      <c r="D68" s="15">
        <f>_xlfn.XLOOKUP(
    $R68,
    CategoryPerformanceData[category_name],
    CategoryPerformanceData[products_sold],
    ""
)</f>
        <v>9</v>
      </c>
      <c r="E68" s="16">
        <f>_xlfn.XLOOKUP(
    $R68,
    CategoryPerformanceData[category_name],
    CategoryPerformanceData[item_sales_value],
    ""
)</f>
        <v>3933.63</v>
      </c>
      <c r="F68" s="17">
        <f>_xlfn.XLOOKUP(
    $R68,
    CategoryPerformanceData[category_name],
    CategoryPerformanceData[item_sales_value_share_pct],
    ""
)</f>
        <v>2.9999999999999997E-4</v>
      </c>
      <c r="G68" s="16">
        <f>_xlfn.XLOOKUP(
    $R68,
    CategoryPerformanceData[category_name],
    CategoryPerformanceData[avg_item_price],
    ""
)</f>
        <v>280.97000000000003</v>
      </c>
      <c r="H68" s="18">
        <f>_xlfn.XLOOKUP(
    $R68,
    CategoryGrowthData[category_name],
    CategoryGrowthData[item_sales_value_2017],
    ""
)</f>
        <v>0</v>
      </c>
      <c r="I68" s="16">
        <f>_xlfn.XLOOKUP(
    $R68,
    CategoryGrowthData[category_name],
    CategoryGrowthData[item_sales_value_2018],
    ""
)</f>
        <v>3933.63</v>
      </c>
      <c r="J68" s="16">
        <f>_xlfn.XLOOKUP(
    $R68,
    CategoryGrowthData[category_name],
    CategoryGrowthData[item_sales_value_change],
    ""
)</f>
        <v>3933.63</v>
      </c>
      <c r="K68" s="19">
        <f>_xlfn.LET(
    _xlpm.cat, $R68,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</v>
      </c>
      <c r="L68" s="20">
        <f>_xlfn.XLOOKUP(
    $R68,
    CategoryGrowthData[category_name],
    CategoryGrowthData[marketplace_share_change_pp],
    ""
)</f>
        <v>0.05</v>
      </c>
      <c r="M68" s="19">
        <f>_xlfn.XLOOKUP(
    $R68,
    CategoryGrowthData[category_name],
    CategoryGrowthData[contribution_to_sales_growth_pct],
    ""
)</f>
        <v>8.9999999999999998E-4</v>
      </c>
      <c r="N68" s="15">
        <f>_xlfn.XLOOKUP(
    $R68,
    CategoryReviewData[category_name],
    CategoryReviewData[reviewed_orders],
    ""
)</f>
        <v>14</v>
      </c>
      <c r="O68" s="16">
        <f>_xlfn.XLOOKUP(
    $R68,
    CategoryReviewData[category_name],
    CategoryReviewData[avg_review_score],
    ""
)</f>
        <v>3.43</v>
      </c>
      <c r="P68" s="21">
        <f>_xlfn.XLOOKUP(
    $R68,
    CategoryReviewData[category_name],
    CategoryReviewData[low_review_rate_pct],
    ""
)</f>
        <v>0.28570000000000001</v>
      </c>
      <c r="Q68" s="21">
        <f>_xlfn.XLOOKUP(
    $R68,
    CategoryReviewData[category_name],
    CategoryReviewData[high_review_rate_pct],
    ""
)</f>
        <v>0.5</v>
      </c>
      <c r="R68" s="1" t="s">
        <v>99</v>
      </c>
    </row>
    <row r="69" spans="1:18" x14ac:dyDescent="0.35">
      <c r="A69" s="2" t="str">
        <f>_xlfn.XLOOKUP(
    $R69,
    CategoryPerformanceData[category_name],
    CategoryPerformanceData[display_category],
    ""
)</f>
        <v>Fashio Female Clothing</v>
      </c>
      <c r="B69" s="15">
        <f>_xlfn.XLOOKUP(
    $R69,
    CategoryPerformanceData[category_name],
    CategoryPerformanceData[completed_orders],
    ""
)</f>
        <v>36</v>
      </c>
      <c r="C69" s="15">
        <f>_xlfn.XLOOKUP(
    $R69,
    CategoryPerformanceData[category_name],
    CategoryPerformanceData[items_sold],
    ""
)</f>
        <v>45</v>
      </c>
      <c r="D69" s="15">
        <f>_xlfn.XLOOKUP(
    $R69,
    CategoryPerformanceData[category_name],
    CategoryPerformanceData[products_sold],
    ""
)</f>
        <v>26</v>
      </c>
      <c r="E69" s="16">
        <f>_xlfn.XLOOKUP(
    $R69,
    CategoryPerformanceData[category_name],
    CategoryPerformanceData[item_sales_value],
    ""
)</f>
        <v>2634.94</v>
      </c>
      <c r="F69" s="17">
        <f>_xlfn.XLOOKUP(
    $R69,
    CategoryPerformanceData[category_name],
    CategoryPerformanceData[item_sales_value_share_pct],
    ""
)</f>
        <v>2.0000000000000001E-4</v>
      </c>
      <c r="G69" s="16">
        <f>_xlfn.XLOOKUP(
    $R69,
    CategoryPerformanceData[category_name],
    CategoryPerformanceData[avg_item_price],
    ""
)</f>
        <v>58.55</v>
      </c>
      <c r="H69" s="18">
        <f>_xlfn.XLOOKUP(
    $R69,
    CategoryGrowthData[category_name],
    CategoryGrowthData[item_sales_value_2017],
    ""
)</f>
        <v>1547.7</v>
      </c>
      <c r="I69" s="16">
        <f>_xlfn.XLOOKUP(
    $R69,
    CategoryGrowthData[category_name],
    CategoryGrowthData[item_sales_value_2018],
    ""
)</f>
        <v>616.66</v>
      </c>
      <c r="J69" s="16">
        <f>_xlfn.XLOOKUP(
    $R69,
    CategoryGrowthData[category_name],
    CategoryGrowthData[item_sales_value_change],
    ""
)</f>
        <v>-931.04</v>
      </c>
      <c r="K69" s="19">
        <f>_xlfn.LET(
    _xlpm.cat, $R69,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-0.60159999999999991</v>
      </c>
      <c r="L69" s="20">
        <f>_xlfn.XLOOKUP(
    $R69,
    CategoryGrowthData[category_name],
    CategoryGrowthData[marketplace_share_change_pp],
    ""
)</f>
        <v>-0.04</v>
      </c>
      <c r="M69" s="19">
        <f>_xlfn.XLOOKUP(
    $R69,
    CategoryGrowthData[category_name],
    CategoryGrowthData[contribution_to_sales_growth_pct],
    ""
)</f>
        <v>-2.0000000000000001E-4</v>
      </c>
      <c r="N69" s="15">
        <f>_xlfn.XLOOKUP(
    $R69,
    CategoryReviewData[category_name],
    CategoryReviewData[reviewed_orders],
    ""
)</f>
        <v>39</v>
      </c>
      <c r="O69" s="16">
        <f>_xlfn.XLOOKUP(
    $R69,
    CategoryReviewData[category_name],
    CategoryReviewData[avg_review_score],
    ""
)</f>
        <v>3.69</v>
      </c>
      <c r="P69" s="21">
        <f>_xlfn.XLOOKUP(
    $R69,
    CategoryReviewData[category_name],
    CategoryReviewData[low_review_rate_pct],
    ""
)</f>
        <v>0.23079999999999998</v>
      </c>
      <c r="Q69" s="21">
        <f>_xlfn.XLOOKUP(
    $R69,
    CategoryReviewData[category_name],
    CategoryReviewData[high_review_rate_pct],
    ""
)</f>
        <v>0.61539999999999995</v>
      </c>
      <c r="R69" s="1" t="s">
        <v>100</v>
      </c>
    </row>
    <row r="70" spans="1:18" x14ac:dyDescent="0.35">
      <c r="A70" s="2" t="str">
        <f>_xlfn.XLOOKUP(
    $R70,
    CategoryPerformanceData[category_name],
    CategoryPerformanceData[display_category],
    ""
)</f>
        <v>Fashion Sport</v>
      </c>
      <c r="B70" s="15">
        <f>_xlfn.XLOOKUP(
    $R70,
    CategoryPerformanceData[category_name],
    CategoryPerformanceData[completed_orders],
    ""
)</f>
        <v>26</v>
      </c>
      <c r="C70" s="15">
        <f>_xlfn.XLOOKUP(
    $R70,
    CategoryPerformanceData[category_name],
    CategoryPerformanceData[items_sold],
    ""
)</f>
        <v>29</v>
      </c>
      <c r="D70" s="15">
        <f>_xlfn.XLOOKUP(
    $R70,
    CategoryPerformanceData[category_name],
    CategoryPerformanceData[products_sold],
    ""
)</f>
        <v>19</v>
      </c>
      <c r="E70" s="16">
        <f>_xlfn.XLOOKUP(
    $R70,
    CategoryPerformanceData[category_name],
    CategoryPerformanceData[item_sales_value],
    ""
)</f>
        <v>2094.52</v>
      </c>
      <c r="F70" s="17">
        <f>_xlfn.XLOOKUP(
    $R70,
    CategoryPerformanceData[category_name],
    CategoryPerformanceData[item_sales_value_share_pct],
    ""
)</f>
        <v>2.0000000000000001E-4</v>
      </c>
      <c r="G70" s="16">
        <f>_xlfn.XLOOKUP(
    $R70,
    CategoryPerformanceData[category_name],
    CategoryPerformanceData[avg_item_price],
    ""
)</f>
        <v>72.22</v>
      </c>
      <c r="H70" s="18">
        <f>_xlfn.XLOOKUP(
    $R70,
    CategoryGrowthData[category_name],
    CategoryGrowthData[item_sales_value_2017],
    ""
)</f>
        <v>1160.72</v>
      </c>
      <c r="I70" s="16">
        <f>_xlfn.XLOOKUP(
    $R70,
    CategoryGrowthData[category_name],
    CategoryGrowthData[item_sales_value_2018],
    ""
)</f>
        <v>369.5</v>
      </c>
      <c r="J70" s="16">
        <f>_xlfn.XLOOKUP(
    $R70,
    CategoryGrowthData[category_name],
    CategoryGrowthData[item_sales_value_change],
    ""
)</f>
        <v>-791.22</v>
      </c>
      <c r="K70" s="19">
        <f>_xlfn.LET(
    _xlpm.cat, $R70,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-0.68169999999999997</v>
      </c>
      <c r="L70" s="20">
        <f>_xlfn.XLOOKUP(
    $R70,
    CategoryGrowthData[category_name],
    CategoryGrowthData[marketplace_share_change_pp],
    ""
)</f>
        <v>-0.03</v>
      </c>
      <c r="M70" s="19">
        <f>_xlfn.XLOOKUP(
    $R70,
    CategoryGrowthData[category_name],
    CategoryGrowthData[contribution_to_sales_growth_pct],
    ""
)</f>
        <v>-2.0000000000000001E-4</v>
      </c>
      <c r="N70" s="15">
        <f>_xlfn.XLOOKUP(
    $R70,
    CategoryReviewData[category_name],
    CategoryReviewData[reviewed_orders],
    ""
)</f>
        <v>27</v>
      </c>
      <c r="O70" s="16">
        <f>_xlfn.XLOOKUP(
    $R70,
    CategoryReviewData[category_name],
    CategoryReviewData[avg_review_score],
    ""
)</f>
        <v>4.26</v>
      </c>
      <c r="P70" s="21">
        <f>_xlfn.XLOOKUP(
    $R70,
    CategoryReviewData[category_name],
    CategoryReviewData[low_review_rate_pct],
    ""
)</f>
        <v>0.11109999999999999</v>
      </c>
      <c r="Q70" s="21">
        <f>_xlfn.XLOOKUP(
    $R70,
    CategoryReviewData[category_name],
    CategoryReviewData[high_review_rate_pct],
    ""
)</f>
        <v>0.81480000000000008</v>
      </c>
      <c r="R70" s="1" t="s">
        <v>101</v>
      </c>
    </row>
    <row r="71" spans="1:18" x14ac:dyDescent="0.35">
      <c r="A71" s="2" t="str">
        <f>_xlfn.XLOOKUP(
    $R71,
    CategoryPerformanceData[category_name],
    CategoryPerformanceData[display_category],
    ""
)</f>
        <v>La Cuisine</v>
      </c>
      <c r="B71" s="15">
        <f>_xlfn.XLOOKUP(
    $R71,
    CategoryPerformanceData[category_name],
    CategoryPerformanceData[completed_orders],
    ""
)</f>
        <v>13</v>
      </c>
      <c r="C71" s="15">
        <f>_xlfn.XLOOKUP(
    $R71,
    CategoryPerformanceData[category_name],
    CategoryPerformanceData[items_sold],
    ""
)</f>
        <v>14</v>
      </c>
      <c r="D71" s="15">
        <f>_xlfn.XLOOKUP(
    $R71,
    CategoryPerformanceData[category_name],
    CategoryPerformanceData[products_sold],
    ""
)</f>
        <v>10</v>
      </c>
      <c r="E71" s="16">
        <f>_xlfn.XLOOKUP(
    $R71,
    CategoryPerformanceData[category_name],
    CategoryPerformanceData[item_sales_value],
    ""
)</f>
        <v>2054.9899999999998</v>
      </c>
      <c r="F71" s="17">
        <f>_xlfn.XLOOKUP(
    $R71,
    CategoryPerformanceData[category_name],
    CategoryPerformanceData[item_sales_value_share_pct],
    ""
)</f>
        <v>2.0000000000000001E-4</v>
      </c>
      <c r="G71" s="16">
        <f>_xlfn.XLOOKUP(
    $R71,
    CategoryPerformanceData[category_name],
    CategoryPerformanceData[avg_item_price],
    ""
)</f>
        <v>146.79</v>
      </c>
      <c r="H71" s="18">
        <f>_xlfn.XLOOKUP(
    $R71,
    CategoryGrowthData[category_name],
    CategoryGrowthData[item_sales_value_2017],
    ""
)</f>
        <v>999.99</v>
      </c>
      <c r="I71" s="16">
        <f>_xlfn.XLOOKUP(
    $R71,
    CategoryGrowthData[category_name],
    CategoryGrowthData[item_sales_value_2018],
    ""
)</f>
        <v>781</v>
      </c>
      <c r="J71" s="16">
        <f>_xlfn.XLOOKUP(
    $R71,
    CategoryGrowthData[category_name],
    CategoryGrowthData[item_sales_value_change],
    ""
)</f>
        <v>-218.99</v>
      </c>
      <c r="K71" s="19">
        <f>_xlfn.LET(
    _xlpm.cat, $R71,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-0.21899999999999997</v>
      </c>
      <c r="L71" s="20">
        <f>_xlfn.XLOOKUP(
    $R71,
    CategoryGrowthData[category_name],
    CategoryGrowthData[marketplace_share_change_pp],
    ""
)</f>
        <v>-0.02</v>
      </c>
      <c r="M71" s="19">
        <f>_xlfn.XLOOKUP(
    $R71,
    CategoryGrowthData[category_name],
    CategoryGrowthData[contribution_to_sales_growth_pct],
    ""
)</f>
        <v>-1E-4</v>
      </c>
      <c r="N71" s="15">
        <f>_xlfn.XLOOKUP(
    $R71,
    CategoryReviewData[category_name],
    CategoryReviewData[reviewed_orders],
    ""
)</f>
        <v>12</v>
      </c>
      <c r="O71" s="16">
        <f>_xlfn.XLOOKUP(
    $R71,
    CategoryReviewData[category_name],
    CategoryReviewData[avg_review_score],
    ""
)</f>
        <v>4.25</v>
      </c>
      <c r="P71" s="21">
        <f>_xlfn.XLOOKUP(
    $R71,
    CategoryReviewData[category_name],
    CategoryReviewData[low_review_rate_pct],
    ""
)</f>
        <v>0.16670000000000001</v>
      </c>
      <c r="Q71" s="21">
        <f>_xlfn.XLOOKUP(
    $R71,
    CategoryReviewData[category_name],
    CategoryReviewData[high_review_rate_pct],
    ""
)</f>
        <v>0.83329999999999993</v>
      </c>
      <c r="R71" s="1" t="s">
        <v>102</v>
      </c>
    </row>
    <row r="72" spans="1:18" x14ac:dyDescent="0.35">
      <c r="A72" s="2" t="str">
        <f>_xlfn.XLOOKUP(
    $R72,
    CategoryPerformanceData[category_name],
    CategoryPerformanceData[display_category],
    ""
)</f>
        <v>Arts And Craftmanship</v>
      </c>
      <c r="B72" s="15">
        <f>_xlfn.XLOOKUP(
    $R72,
    CategoryPerformanceData[category_name],
    CategoryPerformanceData[completed_orders],
    ""
)</f>
        <v>23</v>
      </c>
      <c r="C72" s="15">
        <f>_xlfn.XLOOKUP(
    $R72,
    CategoryPerformanceData[category_name],
    CategoryPerformanceData[items_sold],
    ""
)</f>
        <v>24</v>
      </c>
      <c r="D72" s="15">
        <f>_xlfn.XLOOKUP(
    $R72,
    CategoryPerformanceData[category_name],
    CategoryPerformanceData[products_sold],
    ""
)</f>
        <v>19</v>
      </c>
      <c r="E72" s="16">
        <f>_xlfn.XLOOKUP(
    $R72,
    CategoryPerformanceData[category_name],
    CategoryPerformanceData[item_sales_value],
    ""
)</f>
        <v>1814.01</v>
      </c>
      <c r="F72" s="17">
        <f>_xlfn.XLOOKUP(
    $R72,
    CategoryPerformanceData[category_name],
    CategoryPerformanceData[item_sales_value_share_pct],
    ""
)</f>
        <v>1E-4</v>
      </c>
      <c r="G72" s="16">
        <f>_xlfn.XLOOKUP(
    $R72,
    CategoryPerformanceData[category_name],
    CategoryPerformanceData[avg_item_price],
    ""
)</f>
        <v>75.58</v>
      </c>
      <c r="H72" s="18">
        <f>_xlfn.XLOOKUP(
    $R72,
    CategoryGrowthData[category_name],
    CategoryGrowthData[item_sales_value_2017],
    ""
)</f>
        <v>151.88999999999999</v>
      </c>
      <c r="I72" s="16">
        <f>_xlfn.XLOOKUP(
    $R72,
    CategoryGrowthData[category_name],
    CategoryGrowthData[item_sales_value_2018],
    ""
)</f>
        <v>1662.12</v>
      </c>
      <c r="J72" s="16">
        <f>_xlfn.XLOOKUP(
    $R72,
    CategoryGrowthData[category_name],
    CategoryGrowthData[item_sales_value_change],
    ""
)</f>
        <v>1510.23</v>
      </c>
      <c r="K72" s="19">
        <f>_xlfn.LET(
    _xlpm.cat, $R72,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9.9428999999999998</v>
      </c>
      <c r="L72" s="20">
        <f>_xlfn.XLOOKUP(
    $R72,
    CategoryGrowthData[category_name],
    CategoryGrowthData[marketplace_share_change_pp],
    ""
)</f>
        <v>0.02</v>
      </c>
      <c r="M72" s="19">
        <f>_xlfn.XLOOKUP(
    $R72,
    CategoryGrowthData[category_name],
    CategoryGrowthData[contribution_to_sales_growth_pct],
    ""
)</f>
        <v>4.0000000000000002E-4</v>
      </c>
      <c r="N72" s="15">
        <f>_xlfn.XLOOKUP(
    $R72,
    CategoryReviewData[category_name],
    CategoryReviewData[reviewed_orders],
    ""
)</f>
        <v>23</v>
      </c>
      <c r="O72" s="16">
        <f>_xlfn.XLOOKUP(
    $R72,
    CategoryReviewData[category_name],
    CategoryReviewData[avg_review_score],
    ""
)</f>
        <v>4.17</v>
      </c>
      <c r="P72" s="21">
        <f>_xlfn.XLOOKUP(
    $R72,
    CategoryReviewData[category_name],
    CategoryReviewData[low_review_rate_pct],
    ""
)</f>
        <v>0.13039999999999999</v>
      </c>
      <c r="Q72" s="21">
        <f>_xlfn.XLOOKUP(
    $R72,
    CategoryReviewData[category_name],
    CategoryReviewData[high_review_rate_pct],
    ""
)</f>
        <v>0.78260000000000007</v>
      </c>
      <c r="R72" s="1" t="s">
        <v>103</v>
      </c>
    </row>
    <row r="73" spans="1:18" x14ac:dyDescent="0.35">
      <c r="A73" s="2" t="str">
        <f>_xlfn.XLOOKUP(
    $R73,
    CategoryPerformanceData[category_name],
    CategoryPerformanceData[display_category],
    ""
)</f>
        <v>Diapers And Hygiene</v>
      </c>
      <c r="B73" s="15">
        <f>_xlfn.XLOOKUP(
    $R73,
    CategoryPerformanceData[category_name],
    CategoryPerformanceData[completed_orders],
    ""
)</f>
        <v>25</v>
      </c>
      <c r="C73" s="15">
        <f>_xlfn.XLOOKUP(
    $R73,
    CategoryPerformanceData[category_name],
    CategoryPerformanceData[items_sold],
    ""
)</f>
        <v>37</v>
      </c>
      <c r="D73" s="15">
        <f>_xlfn.XLOOKUP(
    $R73,
    CategoryPerformanceData[category_name],
    CategoryPerformanceData[products_sold],
    ""
)</f>
        <v>11</v>
      </c>
      <c r="E73" s="16">
        <f>_xlfn.XLOOKUP(
    $R73,
    CategoryPerformanceData[category_name],
    CategoryPerformanceData[item_sales_value],
    ""
)</f>
        <v>1500.79</v>
      </c>
      <c r="F73" s="17">
        <f>_xlfn.XLOOKUP(
    $R73,
    CategoryPerformanceData[category_name],
    CategoryPerformanceData[item_sales_value_share_pct],
    ""
)</f>
        <v>1E-4</v>
      </c>
      <c r="G73" s="16">
        <f>_xlfn.XLOOKUP(
    $R73,
    CategoryPerformanceData[category_name],
    CategoryPerformanceData[avg_item_price],
    ""
)</f>
        <v>40.56</v>
      </c>
      <c r="H73" s="18">
        <f>_xlfn.XLOOKUP(
    $R73,
    CategoryGrowthData[category_name],
    CategoryGrowthData[item_sales_value_2017],
    ""
)</f>
        <v>0</v>
      </c>
      <c r="I73" s="16">
        <f>_xlfn.XLOOKUP(
    $R73,
    CategoryGrowthData[category_name],
    CategoryGrowthData[item_sales_value_2018],
    ""
)</f>
        <v>1289.8900000000001</v>
      </c>
      <c r="J73" s="16">
        <f>_xlfn.XLOOKUP(
    $R73,
    CategoryGrowthData[category_name],
    CategoryGrowthData[item_sales_value_change],
    ""
)</f>
        <v>1289.8900000000001</v>
      </c>
      <c r="K73" s="19">
        <f>_xlfn.LET(
    _xlpm.cat, $R73,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</v>
      </c>
      <c r="L73" s="20">
        <f>_xlfn.XLOOKUP(
    $R73,
    CategoryGrowthData[category_name],
    CategoryGrowthData[marketplace_share_change_pp],
    ""
)</f>
        <v>0.02</v>
      </c>
      <c r="M73" s="19">
        <f>_xlfn.XLOOKUP(
    $R73,
    CategoryGrowthData[category_name],
    CategoryGrowthData[contribution_to_sales_growth_pct],
    ""
)</f>
        <v>2.9999999999999997E-4</v>
      </c>
      <c r="N73" s="15">
        <f>_xlfn.XLOOKUP(
    $R73,
    CategoryReviewData[category_name],
    CategoryReviewData[reviewed_orders],
    ""
)</f>
        <v>27</v>
      </c>
      <c r="O73" s="16">
        <f>_xlfn.XLOOKUP(
    $R73,
    CategoryReviewData[category_name],
    CategoryReviewData[avg_review_score],
    ""
)</f>
        <v>3.74</v>
      </c>
      <c r="P73" s="21">
        <f>_xlfn.XLOOKUP(
    $R73,
    CategoryReviewData[category_name],
    CategoryReviewData[low_review_rate_pct],
    ""
)</f>
        <v>0.1852</v>
      </c>
      <c r="Q73" s="21">
        <f>_xlfn.XLOOKUP(
    $R73,
    CategoryReviewData[category_name],
    CategoryReviewData[high_review_rate_pct],
    ""
)</f>
        <v>0.66670000000000007</v>
      </c>
      <c r="R73" s="1" t="s">
        <v>104</v>
      </c>
    </row>
    <row r="74" spans="1:18" x14ac:dyDescent="0.35">
      <c r="A74" s="2" t="str">
        <f>_xlfn.XLOOKUP(
    $R74,
    CategoryPerformanceData[category_name],
    CategoryPerformanceData[display_category],
    ""
)</f>
        <v>Pc Gamer</v>
      </c>
      <c r="B74" s="15">
        <f>_xlfn.XLOOKUP(
    $R74,
    CategoryPerformanceData[category_name],
    CategoryPerformanceData[completed_orders],
    ""
)</f>
        <v>7</v>
      </c>
      <c r="C74" s="15">
        <f>_xlfn.XLOOKUP(
    $R74,
    CategoryPerformanceData[category_name],
    CategoryPerformanceData[items_sold],
    ""
)</f>
        <v>8</v>
      </c>
      <c r="D74" s="15">
        <f>_xlfn.XLOOKUP(
    $R74,
    CategoryPerformanceData[category_name],
    CategoryPerformanceData[products_sold],
    ""
)</f>
        <v>2</v>
      </c>
      <c r="E74" s="16">
        <f>_xlfn.XLOOKUP(
    $R74,
    CategoryPerformanceData[category_name],
    CategoryPerformanceData[item_sales_value],
    ""
)</f>
        <v>1306.95</v>
      </c>
      <c r="F74" s="17">
        <f>_xlfn.XLOOKUP(
    $R74,
    CategoryPerformanceData[category_name],
    CategoryPerformanceData[item_sales_value_share_pct],
    ""
)</f>
        <v>1E-4</v>
      </c>
      <c r="G74" s="16">
        <f>_xlfn.XLOOKUP(
    $R74,
    CategoryPerformanceData[category_name],
    CategoryPerformanceData[avg_item_price],
    ""
)</f>
        <v>163.37</v>
      </c>
      <c r="H74" s="18">
        <f>_xlfn.XLOOKUP(
    $R74,
    CategoryGrowthData[category_name],
    CategoryGrowthData[item_sales_value_2017],
    ""
)</f>
        <v>519.96</v>
      </c>
      <c r="I74" s="16">
        <f>_xlfn.XLOOKUP(
    $R74,
    CategoryGrowthData[category_name],
    CategoryGrowthData[item_sales_value_2018],
    ""
)</f>
        <v>786.99</v>
      </c>
      <c r="J74" s="16">
        <f>_xlfn.XLOOKUP(
    $R74,
    CategoryGrowthData[category_name],
    CategoryGrowthData[item_sales_value_change],
    ""
)</f>
        <v>267.02999999999997</v>
      </c>
      <c r="K74" s="19">
        <f>_xlfn.LET(
    _xlpm.cat, $R74,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0.51359999999999995</v>
      </c>
      <c r="L74" s="20">
        <f>_xlfn.XLOOKUP(
    $R74,
    CategoryGrowthData[category_name],
    CategoryGrowthData[marketplace_share_change_pp],
    ""
)</f>
        <v>-0.01</v>
      </c>
      <c r="M74" s="19">
        <f>_xlfn.XLOOKUP(
    $R74,
    CategoryGrowthData[category_name],
    CategoryGrowthData[contribution_to_sales_growth_pct],
    ""
)</f>
        <v>1E-4</v>
      </c>
      <c r="N74" s="15">
        <f>_xlfn.XLOOKUP(
    $R74,
    CategoryReviewData[category_name],
    CategoryReviewData[reviewed_orders],
    ""
)</f>
        <v>8</v>
      </c>
      <c r="O74" s="16">
        <f>_xlfn.XLOOKUP(
    $R74,
    CategoryReviewData[category_name],
    CategoryReviewData[avg_review_score],
    ""
)</f>
        <v>3.13</v>
      </c>
      <c r="P74" s="21">
        <f>_xlfn.XLOOKUP(
    $R74,
    CategoryReviewData[category_name],
    CategoryReviewData[low_review_rate_pct],
    ""
)</f>
        <v>0.375</v>
      </c>
      <c r="Q74" s="21">
        <f>_xlfn.XLOOKUP(
    $R74,
    CategoryReviewData[category_name],
    CategoryReviewData[high_review_rate_pct],
    ""
)</f>
        <v>0.625</v>
      </c>
      <c r="R74" s="1" t="s">
        <v>105</v>
      </c>
    </row>
    <row r="75" spans="1:18" x14ac:dyDescent="0.35">
      <c r="A75" s="2" t="str">
        <f>_xlfn.XLOOKUP(
    $R75,
    CategoryPerformanceData[category_name],
    CategoryPerformanceData[display_category],
    ""
)</f>
        <v>Flowers</v>
      </c>
      <c r="B75" s="15">
        <f>_xlfn.XLOOKUP(
    $R75,
    CategoryPerformanceData[category_name],
    CategoryPerformanceData[completed_orders],
    ""
)</f>
        <v>29</v>
      </c>
      <c r="C75" s="15">
        <f>_xlfn.XLOOKUP(
    $R75,
    CategoryPerformanceData[category_name],
    CategoryPerformanceData[items_sold],
    ""
)</f>
        <v>33</v>
      </c>
      <c r="D75" s="15">
        <f>_xlfn.XLOOKUP(
    $R75,
    CategoryPerformanceData[category_name],
    CategoryPerformanceData[products_sold],
    ""
)</f>
        <v>14</v>
      </c>
      <c r="E75" s="16">
        <f>_xlfn.XLOOKUP(
    $R75,
    CategoryPerformanceData[category_name],
    CategoryPerformanceData[item_sales_value],
    ""
)</f>
        <v>1110.04</v>
      </c>
      <c r="F75" s="17">
        <f>_xlfn.XLOOKUP(
    $R75,
    CategoryPerformanceData[category_name],
    CategoryPerformanceData[item_sales_value_share_pct],
    ""
)</f>
        <v>1E-4</v>
      </c>
      <c r="G75" s="16">
        <f>_xlfn.XLOOKUP(
    $R75,
    CategoryPerformanceData[category_name],
    CategoryPerformanceData[avg_item_price],
    ""
)</f>
        <v>33.64</v>
      </c>
      <c r="H75" s="18">
        <f>_xlfn.XLOOKUP(
    $R75,
    CategoryGrowthData[category_name],
    CategoryGrowthData[item_sales_value_2017],
    ""
)</f>
        <v>0</v>
      </c>
      <c r="I75" s="16">
        <f>_xlfn.XLOOKUP(
    $R75,
    CategoryGrowthData[category_name],
    CategoryGrowthData[item_sales_value_2018],
    ""
)</f>
        <v>839.54</v>
      </c>
      <c r="J75" s="16">
        <f>_xlfn.XLOOKUP(
    $R75,
    CategoryGrowthData[category_name],
    CategoryGrowthData[item_sales_value_change],
    ""
)</f>
        <v>839.54</v>
      </c>
      <c r="K75" s="19">
        <f>_xlfn.LET(
    _xlpm.cat, $R75,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0</v>
      </c>
      <c r="L75" s="20">
        <f>_xlfn.XLOOKUP(
    $R75,
    CategoryGrowthData[category_name],
    CategoryGrowthData[marketplace_share_change_pp],
    ""
)</f>
        <v>0.01</v>
      </c>
      <c r="M75" s="19">
        <f>_xlfn.XLOOKUP(
    $R75,
    CategoryGrowthData[category_name],
    CategoryGrowthData[contribution_to_sales_growth_pct],
    ""
)</f>
        <v>2.0000000000000001E-4</v>
      </c>
      <c r="N75" s="15">
        <f>_xlfn.XLOOKUP(
    $R75,
    CategoryReviewData[category_name],
    CategoryReviewData[reviewed_orders],
    ""
)</f>
        <v>28</v>
      </c>
      <c r="O75" s="16">
        <f>_xlfn.XLOOKUP(
    $R75,
    CategoryReviewData[category_name],
    CategoryReviewData[avg_review_score],
    ""
)</f>
        <v>4.3899999999999997</v>
      </c>
      <c r="P75" s="21">
        <f>_xlfn.XLOOKUP(
    $R75,
    CategoryReviewData[category_name],
    CategoryReviewData[low_review_rate_pct],
    ""
)</f>
        <v>7.1399999999999991E-2</v>
      </c>
      <c r="Q75" s="21">
        <f>_xlfn.XLOOKUP(
    $R75,
    CategoryReviewData[category_name],
    CategoryReviewData[high_review_rate_pct],
    ""
)</f>
        <v>0.85709999999999997</v>
      </c>
      <c r="R75" s="1" t="s">
        <v>106</v>
      </c>
    </row>
    <row r="76" spans="1:18" x14ac:dyDescent="0.35">
      <c r="A76" s="2" t="str">
        <f>_xlfn.XLOOKUP(
    $R76,
    CategoryPerformanceData[category_name],
    CategoryPerformanceData[display_category],
    ""
)</f>
        <v>Home Comfort 2</v>
      </c>
      <c r="B76" s="15">
        <f>_xlfn.XLOOKUP(
    $R76,
    CategoryPerformanceData[category_name],
    CategoryPerformanceData[completed_orders],
    ""
)</f>
        <v>24</v>
      </c>
      <c r="C76" s="15">
        <f>_xlfn.XLOOKUP(
    $R76,
    CategoryPerformanceData[category_name],
    CategoryPerformanceData[items_sold],
    ""
)</f>
        <v>30</v>
      </c>
      <c r="D76" s="15">
        <f>_xlfn.XLOOKUP(
    $R76,
    CategoryPerformanceData[category_name],
    CategoryPerformanceData[products_sold],
    ""
)</f>
        <v>5</v>
      </c>
      <c r="E76" s="16">
        <f>_xlfn.XLOOKUP(
    $R76,
    CategoryPerformanceData[category_name],
    CategoryPerformanceData[item_sales_value],
    ""
)</f>
        <v>760.27</v>
      </c>
      <c r="F76" s="17">
        <f>_xlfn.XLOOKUP(
    $R76,
    CategoryPerformanceData[category_name],
    CategoryPerformanceData[item_sales_value_share_pct],
    ""
)</f>
        <v>1E-4</v>
      </c>
      <c r="G76" s="16">
        <f>_xlfn.XLOOKUP(
    $R76,
    CategoryPerformanceData[category_name],
    CategoryPerformanceData[avg_item_price],
    ""
)</f>
        <v>25.34</v>
      </c>
      <c r="H76" s="18">
        <f>_xlfn.XLOOKUP(
    $R76,
    CategoryGrowthData[category_name],
    CategoryGrowthData[item_sales_value_2017],
    ""
)</f>
        <v>493.08</v>
      </c>
      <c r="I76" s="16">
        <f>_xlfn.XLOOKUP(
    $R76,
    CategoryGrowthData[category_name],
    CategoryGrowthData[item_sales_value_2018],
    ""
)</f>
        <v>151.09</v>
      </c>
      <c r="J76" s="16">
        <f>_xlfn.XLOOKUP(
    $R76,
    CategoryGrowthData[category_name],
    CategoryGrowthData[item_sales_value_change],
    ""
)</f>
        <v>-341.99</v>
      </c>
      <c r="K76" s="19">
        <f>_xlfn.LET(
    _xlpm.cat, $R76,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-0.69359999999999999</v>
      </c>
      <c r="L76" s="20">
        <f>_xlfn.XLOOKUP(
    $R76,
    CategoryGrowthData[category_name],
    CategoryGrowthData[marketplace_share_change_pp],
    ""
)</f>
        <v>-0.01</v>
      </c>
      <c r="M76" s="19">
        <f>_xlfn.XLOOKUP(
    $R76,
    CategoryGrowthData[category_name],
    CategoryGrowthData[contribution_to_sales_growth_pct],
    ""
)</f>
        <v>-1E-4</v>
      </c>
      <c r="N76" s="15">
        <f>_xlfn.XLOOKUP(
    $R76,
    CategoryReviewData[category_name],
    CategoryReviewData[reviewed_orders],
    ""
)</f>
        <v>23</v>
      </c>
      <c r="O76" s="16">
        <f>_xlfn.XLOOKUP(
    $R76,
    CategoryReviewData[category_name],
    CategoryReviewData[avg_review_score],
    ""
)</f>
        <v>3.83</v>
      </c>
      <c r="P76" s="21">
        <f>_xlfn.XLOOKUP(
    $R76,
    CategoryReviewData[category_name],
    CategoryReviewData[low_review_rate_pct],
    ""
)</f>
        <v>0.21739999999999998</v>
      </c>
      <c r="Q76" s="21">
        <f>_xlfn.XLOOKUP(
    $R76,
    CategoryReviewData[category_name],
    CategoryReviewData[high_review_rate_pct],
    ""
)</f>
        <v>0.69569999999999999</v>
      </c>
      <c r="R76" s="1" t="s">
        <v>107</v>
      </c>
    </row>
    <row r="77" spans="1:18" x14ac:dyDescent="0.35">
      <c r="A77" s="2" t="str">
        <f>_xlfn.XLOOKUP(
    $R77,
    CategoryPerformanceData[category_name],
    CategoryPerformanceData[display_category],
    ""
)</f>
        <v>Cds Dvds Musicals</v>
      </c>
      <c r="B77" s="15">
        <f>_xlfn.XLOOKUP(
    $R77,
    CategoryPerformanceData[category_name],
    CategoryPerformanceData[completed_orders],
    ""
)</f>
        <v>12</v>
      </c>
      <c r="C77" s="15">
        <f>_xlfn.XLOOKUP(
    $R77,
    CategoryPerformanceData[category_name],
    CategoryPerformanceData[items_sold],
    ""
)</f>
        <v>14</v>
      </c>
      <c r="D77" s="15">
        <f>_xlfn.XLOOKUP(
    $R77,
    CategoryPerformanceData[category_name],
    CategoryPerformanceData[products_sold],
    ""
)</f>
        <v>1</v>
      </c>
      <c r="E77" s="16">
        <f>_xlfn.XLOOKUP(
    $R77,
    CategoryPerformanceData[category_name],
    CategoryPerformanceData[item_sales_value],
    ""
)</f>
        <v>730</v>
      </c>
      <c r="F77" s="17">
        <f>_xlfn.XLOOKUP(
    $R77,
    CategoryPerformanceData[category_name],
    CategoryPerformanceData[item_sales_value_share_pct],
    ""
)</f>
        <v>1E-4</v>
      </c>
      <c r="G77" s="16">
        <f>_xlfn.XLOOKUP(
    $R77,
    CategoryPerformanceData[category_name],
    CategoryPerformanceData[avg_item_price],
    ""
)</f>
        <v>52.14</v>
      </c>
      <c r="H77" s="18">
        <f>_xlfn.XLOOKUP(
    $R77,
    CategoryGrowthData[category_name],
    CategoryGrowthData[item_sales_value_2017],
    ""
)</f>
        <v>360</v>
      </c>
      <c r="I77" s="16">
        <f>_xlfn.XLOOKUP(
    $R77,
    CategoryGrowthData[category_name],
    CategoryGrowthData[item_sales_value_2018],
    ""
)</f>
        <v>65</v>
      </c>
      <c r="J77" s="16">
        <f>_xlfn.XLOOKUP(
    $R77,
    CategoryGrowthData[category_name],
    CategoryGrowthData[item_sales_value_change],
    ""
)</f>
        <v>-295</v>
      </c>
      <c r="K77" s="19">
        <f>_xlfn.LET(
    _xlpm.cat, $R77,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-0.81940000000000002</v>
      </c>
      <c r="L77" s="20">
        <f>_xlfn.XLOOKUP(
    $R77,
    CategoryGrowthData[category_name],
    CategoryGrowthData[marketplace_share_change_pp],
    ""
)</f>
        <v>-0.01</v>
      </c>
      <c r="M77" s="19">
        <f>_xlfn.XLOOKUP(
    $R77,
    CategoryGrowthData[category_name],
    CategoryGrowthData[contribution_to_sales_growth_pct],
    ""
)</f>
        <v>-1E-4</v>
      </c>
      <c r="N77" s="15">
        <f>_xlfn.XLOOKUP(
    $R77,
    CategoryReviewData[category_name],
    CategoryReviewData[reviewed_orders],
    ""
)</f>
        <v>12</v>
      </c>
      <c r="O77" s="16">
        <f>_xlfn.XLOOKUP(
    $R77,
    CategoryReviewData[category_name],
    CategoryReviewData[avg_review_score],
    ""
)</f>
        <v>4.67</v>
      </c>
      <c r="P77" s="21">
        <f>_xlfn.XLOOKUP(
    $R77,
    CategoryReviewData[category_name],
    CategoryReviewData[low_review_rate_pct],
    ""
)</f>
        <v>0</v>
      </c>
      <c r="Q77" s="21">
        <f>_xlfn.XLOOKUP(
    $R77,
    CategoryReviewData[category_name],
    CategoryReviewData[high_review_rate_pct],
    ""
)</f>
        <v>0.91670000000000007</v>
      </c>
      <c r="R77" s="1" t="s">
        <v>108</v>
      </c>
    </row>
    <row r="78" spans="1:18" x14ac:dyDescent="0.35">
      <c r="A78" s="2" t="str">
        <f>_xlfn.XLOOKUP(
    $R78,
    CategoryPerformanceData[category_name],
    CategoryPerformanceData[display_category],
    ""
)</f>
        <v>Fashion Childrens Clothes</v>
      </c>
      <c r="B78" s="15">
        <f>_xlfn.XLOOKUP(
    $R78,
    CategoryPerformanceData[category_name],
    CategoryPerformanceData[completed_orders],
    ""
)</f>
        <v>7</v>
      </c>
      <c r="C78" s="15">
        <f>_xlfn.XLOOKUP(
    $R78,
    CategoryPerformanceData[category_name],
    CategoryPerformanceData[items_sold],
    ""
)</f>
        <v>7</v>
      </c>
      <c r="D78" s="15">
        <f>_xlfn.XLOOKUP(
    $R78,
    CategoryPerformanceData[category_name],
    CategoryPerformanceData[products_sold],
    ""
)</f>
        <v>4</v>
      </c>
      <c r="E78" s="16">
        <f>_xlfn.XLOOKUP(
    $R78,
    CategoryPerformanceData[category_name],
    CategoryPerformanceData[item_sales_value],
    ""
)</f>
        <v>519.95000000000005</v>
      </c>
      <c r="F78" s="17">
        <f>_xlfn.XLOOKUP(
    $R78,
    CategoryPerformanceData[category_name],
    CategoryPerformanceData[item_sales_value_share_pct],
    ""
)</f>
        <v>0</v>
      </c>
      <c r="G78" s="16">
        <f>_xlfn.XLOOKUP(
    $R78,
    CategoryPerformanceData[category_name],
    CategoryPerformanceData[avg_item_price],
    ""
)</f>
        <v>74.28</v>
      </c>
      <c r="H78" s="18">
        <f>_xlfn.XLOOKUP(
    $R78,
    CategoryGrowthData[category_name],
    CategoryGrowthData[item_sales_value_2017],
    ""
)</f>
        <v>220</v>
      </c>
      <c r="I78" s="16">
        <f>_xlfn.XLOOKUP(
    $R78,
    CategoryGrowthData[category_name],
    CategoryGrowthData[item_sales_value_2018],
    ""
)</f>
        <v>169.97</v>
      </c>
      <c r="J78" s="16">
        <f>_xlfn.XLOOKUP(
    $R78,
    CategoryGrowthData[category_name],
    CategoryGrowthData[item_sales_value_change],
    ""
)</f>
        <v>-50.03</v>
      </c>
      <c r="K78" s="19">
        <f>_xlfn.LET(
    _xlpm.cat, $R78,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-0.22739999999999999</v>
      </c>
      <c r="L78" s="20">
        <f>_xlfn.XLOOKUP(
    $R78,
    CategoryGrowthData[category_name],
    CategoryGrowthData[marketplace_share_change_pp],
    ""
)</f>
        <v>0</v>
      </c>
      <c r="M78" s="19">
        <f>_xlfn.XLOOKUP(
    $R78,
    CategoryGrowthData[category_name],
    CategoryGrowthData[contribution_to_sales_growth_pct],
    ""
)</f>
        <v>0</v>
      </c>
      <c r="N78" s="15">
        <f>_xlfn.XLOOKUP(
    $R78,
    CategoryReviewData[category_name],
    CategoryReviewData[reviewed_orders],
    ""
)</f>
        <v>8</v>
      </c>
      <c r="O78" s="16">
        <f>_xlfn.XLOOKUP(
    $R78,
    CategoryReviewData[category_name],
    CategoryReviewData[avg_review_score],
    ""
)</f>
        <v>4.5</v>
      </c>
      <c r="P78" s="21">
        <f>_xlfn.XLOOKUP(
    $R78,
    CategoryReviewData[category_name],
    CategoryReviewData[low_review_rate_pct],
    ""
)</f>
        <v>0.125</v>
      </c>
      <c r="Q78" s="21">
        <f>_xlfn.XLOOKUP(
    $R78,
    CategoryReviewData[category_name],
    CategoryReviewData[high_review_rate_pct],
    ""
)</f>
        <v>0.875</v>
      </c>
      <c r="R78" s="1" t="s">
        <v>109</v>
      </c>
    </row>
    <row r="79" spans="1:18" x14ac:dyDescent="0.35">
      <c r="A79" s="2" t="str">
        <f>_xlfn.XLOOKUP(
    $R79,
    CategoryPerformanceData[category_name],
    CategoryPerformanceData[display_category],
    ""
)</f>
        <v>Security And Services</v>
      </c>
      <c r="B79" s="15">
        <f>_xlfn.XLOOKUP(
    $R79,
    CategoryPerformanceData[category_name],
    CategoryPerformanceData[completed_orders],
    ""
)</f>
        <v>2</v>
      </c>
      <c r="C79" s="15">
        <f>_xlfn.XLOOKUP(
    $R79,
    CategoryPerformanceData[category_name],
    CategoryPerformanceData[items_sold],
    ""
)</f>
        <v>2</v>
      </c>
      <c r="D79" s="15">
        <f>_xlfn.XLOOKUP(
    $R79,
    CategoryPerformanceData[category_name],
    CategoryPerformanceData[products_sold],
    ""
)</f>
        <v>2</v>
      </c>
      <c r="E79" s="16">
        <f>_xlfn.XLOOKUP(
    $R79,
    CategoryPerformanceData[category_name],
    CategoryPerformanceData[item_sales_value],
    ""
)</f>
        <v>283.29000000000002</v>
      </c>
      <c r="F79" s="17">
        <f>_xlfn.XLOOKUP(
    $R79,
    CategoryPerformanceData[category_name],
    CategoryPerformanceData[item_sales_value_share_pct],
    ""
)</f>
        <v>0</v>
      </c>
      <c r="G79" s="16">
        <f>_xlfn.XLOOKUP(
    $R79,
    CategoryPerformanceData[category_name],
    CategoryPerformanceData[avg_item_price],
    ""
)</f>
        <v>141.65</v>
      </c>
      <c r="H79" s="18">
        <f>_xlfn.XLOOKUP(
    $R79,
    CategoryGrowthData[category_name],
    CategoryGrowthData[item_sales_value_2017],
    ""
)</f>
        <v>183.29</v>
      </c>
      <c r="I79" s="16">
        <f>_xlfn.XLOOKUP(
    $R79,
    CategoryGrowthData[category_name],
    CategoryGrowthData[item_sales_value_2018],
    ""
)</f>
        <v>0</v>
      </c>
      <c r="J79" s="16">
        <f>_xlfn.XLOOKUP(
    $R79,
    CategoryGrowthData[category_name],
    CategoryGrowthData[item_sales_value_change],
    ""
)</f>
        <v>-183.29</v>
      </c>
      <c r="K79" s="19">
        <f>_xlfn.LET(
    _xlpm.cat, $R79,
    _xlpm.base, _xlfn.XLOOKUP(_xlpm.cat, CategoryGrowthData[category_name], CategoryGrowthData[item_sales_value_2017], 0),
    _xlpm.growth, _xlfn.XLOOKUP(_xlpm.cat, CategoryGrowthData[category_name], CategoryGrowthData[item_sales_value_growth_pct], 0),
    IF(_xlpm.base = 0, 0, _xlpm.growth)
)</f>
        <v>-1</v>
      </c>
      <c r="L79" s="20">
        <f>_xlfn.XLOOKUP(
    $R79,
    CategoryGrowthData[category_name],
    CategoryGrowthData[marketplace_share_change_pp],
    ""
)</f>
        <v>-0.01</v>
      </c>
      <c r="M79" s="19">
        <f>_xlfn.XLOOKUP(
    $R79,
    CategoryGrowthData[category_name],
    CategoryGrowthData[contribution_to_sales_growth_pct],
    ""
)</f>
        <v>0</v>
      </c>
      <c r="N79" s="15">
        <f>_xlfn.XLOOKUP(
    $R79,
    CategoryReviewData[category_name],
    CategoryReviewData[reviewed_orders],
    ""
)</f>
        <v>2</v>
      </c>
      <c r="O79" s="16">
        <f>_xlfn.XLOOKUP(
    $R79,
    CategoryReviewData[category_name],
    CategoryReviewData[avg_review_score],
    ""
)</f>
        <v>2.5</v>
      </c>
      <c r="P79" s="21">
        <f>_xlfn.XLOOKUP(
    $R79,
    CategoryReviewData[category_name],
    CategoryReviewData[low_review_rate_pct],
    ""
)</f>
        <v>0.5</v>
      </c>
      <c r="Q79" s="21">
        <f>_xlfn.XLOOKUP(
    $R79,
    CategoryReviewData[category_name],
    CategoryReviewData[high_review_rate_pct],
    ""
)</f>
        <v>0.5</v>
      </c>
      <c r="R79" s="1" t="s">
        <v>110</v>
      </c>
    </row>
    <row r="80" spans="1:18" x14ac:dyDescent="0.35">
      <c r="A80" s="2" t="str">
        <f>_xlfn.XLOOKUP(
    $R80,
    CategoryPerformanceData[category_name],
    CategoryPerformanceData[display_category],
    ""
)</f>
        <v/>
      </c>
      <c r="D80" s="8" t="str">
        <f>_xlfn.XLOOKUP(
    $R80,
    CategoryPerformanceData[category_name],
    CategoryPerformanceData[products_sold],
    ""
)</f>
        <v/>
      </c>
      <c r="E80" s="9" t="str">
        <f>_xlfn.XLOOKUP(
    $R80,
    CategoryPerformanceData[category_name],
    CategoryPerformanceData[item_sales_value],
    ""
)</f>
        <v/>
      </c>
      <c r="F80" s="10" t="str">
        <f>_xlfn.XLOOKUP(
    $R80,
    CategoryPerformanceData[category_name],
    CategoryPerformanceData[item_sales_value_share_pct],
    ""
)</f>
        <v/>
      </c>
      <c r="G80" s="9" t="str">
        <f>_xlfn.XLOOKUP(
    $R80,
    CategoryPerformanceData[category_name],
    CategoryPerformanceData[avg_item_price],
    ""
)</f>
        <v/>
      </c>
      <c r="H80" s="11" t="str">
        <f>_xlfn.XLOOKUP(
    $R80,
    CategoryGrowthData[category_name],
    CategoryGrowthData[item_sales_value_2017],
    ""
)</f>
        <v/>
      </c>
      <c r="I80" s="9" t="str">
        <f>_xlfn.XLOOKUP(
    $R80,
    CategoryGrowthData[category_name],
    CategoryGrowthData[item_sales_value_2018],
    ""
)</f>
        <v/>
      </c>
      <c r="J80" s="9" t="str">
        <f>_xlfn.XLOOKUP(
    $R80,
    CategoryGrowthData[category_name],
    CategoryGrowthData[item_sales_value_change],
    ""
)</f>
        <v/>
      </c>
      <c r="K80" s="14" t="str">
        <f>_xlfn.LET(
    _xlpm.base,
    _xlfn.XLOOKUP(
        $R80,
        CategoryGrowthData[category_name],
        CategoryGrowthData[item_sales_value_2017],
        ""
    ),
    _xlpm.growth,
    _xlfn.XLOOKUP(
        $R80,
        CategoryGrowthData[category_name],
        CategoryGrowthData[item_sales_value_growth_pct],
        ""
    ),
    IF(_xlpm.base=0,"",_xlpm.growth)
)</f>
        <v/>
      </c>
      <c r="L80" s="13" t="str">
        <f>_xlfn.XLOOKUP(
    $R80,
    CategoryGrowthData[category_name],
    CategoryGrowthData[marketplace_share_change_pp],
    ""
)</f>
        <v/>
      </c>
      <c r="M80" s="14" t="str">
        <f>_xlfn.XLOOKUP(
    $R80,
    CategoryGrowthData[category_name],
    CategoryGrowthData[contribution_to_sales_growth_pct],
    ""
)</f>
        <v/>
      </c>
      <c r="N80" s="8" t="str">
        <f>_xlfn.XLOOKUP(
    $R80,
    CategoryReviewData[category_name],
    CategoryReviewData[reviewed_orders],
    ""
)</f>
        <v/>
      </c>
      <c r="O80" s="9" t="str">
        <f>_xlfn.XLOOKUP(
    $R80,
    CategoryReviewData[category_name],
    CategoryReviewData[avg_review_score],
    ""
)</f>
        <v/>
      </c>
      <c r="P80" s="12" t="str">
        <f>_xlfn.XLOOKUP(
    $R80,
    CategoryReviewData[category_name],
    CategoryReviewData[low_review_rate_pct],
    ""
)</f>
        <v/>
      </c>
      <c r="Q80" s="12" t="str">
        <f>_xlfn.XLOOKUP(
    $R80,
    CategoryReviewData[category_name],
    CategoryReviewData[high_review_rate_pct],
    ""
)</f>
        <v/>
      </c>
    </row>
    <row r="81" spans="1:17" x14ac:dyDescent="0.35">
      <c r="A81" s="2" t="str">
        <f>_xlfn.XLOOKUP(
    $R81,
    CategoryPerformanceData[category_name],
    CategoryPerformanceData[display_category],
    ""
)</f>
        <v/>
      </c>
      <c r="E81" s="9" t="str">
        <f>_xlfn.XLOOKUP(
    $R81,
    CategoryPerformanceData[category_name],
    CategoryPerformanceData[item_sales_value],
    ""
)</f>
        <v/>
      </c>
      <c r="F81" s="10" t="str">
        <f>_xlfn.XLOOKUP(
    $R81,
    CategoryPerformanceData[category_name],
    CategoryPerformanceData[item_sales_value_share_pct],
    ""
)</f>
        <v/>
      </c>
      <c r="G81" s="9" t="str">
        <f>_xlfn.XLOOKUP(
    $R81,
    CategoryPerformanceData[category_name],
    CategoryPerformanceData[avg_item_price],
    ""
)</f>
        <v/>
      </c>
      <c r="H81" s="11" t="str">
        <f>_xlfn.XLOOKUP(
    $R81,
    CategoryGrowthData[category_name],
    CategoryGrowthData[item_sales_value_2017],
    ""
)</f>
        <v/>
      </c>
      <c r="I81" s="9" t="str">
        <f>_xlfn.XLOOKUP(
    $R81,
    CategoryGrowthData[category_name],
    CategoryGrowthData[item_sales_value_2018],
    ""
)</f>
        <v/>
      </c>
      <c r="J81" s="9" t="str">
        <f>_xlfn.XLOOKUP(
    $R81,
    CategoryGrowthData[category_name],
    CategoryGrowthData[item_sales_value_change],
    ""
)</f>
        <v/>
      </c>
      <c r="K81" s="14" t="str">
        <f>_xlfn.LET(
    _xlpm.base,
    _xlfn.XLOOKUP(
        $R81,
        CategoryGrowthData[category_name],
        CategoryGrowthData[item_sales_value_2017],
        ""
    ),
    _xlpm.growth,
    _xlfn.XLOOKUP(
        $R81,
        CategoryGrowthData[category_name],
        CategoryGrowthData[item_sales_value_growth_pct],
        ""
    ),
    IF(_xlpm.base=0,"",_xlpm.growth)
)</f>
        <v/>
      </c>
      <c r="L81" s="13" t="str">
        <f>_xlfn.XLOOKUP(
    $R81,
    CategoryGrowthData[category_name],
    CategoryGrowthData[marketplace_share_change_pp],
    ""
)</f>
        <v/>
      </c>
      <c r="M81" s="14" t="str">
        <f>_xlfn.XLOOKUP(
    $R81,
    CategoryGrowthData[category_name],
    CategoryGrowthData[contribution_to_sales_growth_pct],
    ""
)</f>
        <v/>
      </c>
      <c r="N81" s="8" t="str">
        <f>_xlfn.XLOOKUP(
    $R81,
    CategoryReviewData[category_name],
    CategoryReviewData[reviewed_orders],
    ""
)</f>
        <v/>
      </c>
      <c r="O81" s="9" t="str">
        <f>_xlfn.XLOOKUP(
    $R81,
    CategoryReviewData[category_name],
    CategoryReviewData[avg_review_score],
    ""
)</f>
        <v/>
      </c>
      <c r="P81" s="12" t="str">
        <f>_xlfn.XLOOKUP(
    $R81,
    CategoryReviewData[category_name],
    CategoryReviewData[low_review_rate_pct],
    ""
)</f>
        <v/>
      </c>
      <c r="Q81" s="12" t="str">
        <f>_xlfn.XLOOKUP(
    $R81,
    CategoryReviewData[category_name],
    CategoryReviewData[high_review_rate_pct],
    ""
)</f>
        <v/>
      </c>
    </row>
  </sheetData>
  <mergeCells count="1">
    <mergeCell ref="A1:Q2"/>
  </mergeCells>
  <conditionalFormatting sqref="K6:K79">
    <cfRule type="expression" priority="1">
      <formula>K6=""</formula>
    </cfRule>
    <cfRule type="cellIs" dxfId="5" priority="3" operator="greaterThan">
      <formula>0</formula>
    </cfRule>
    <cfRule type="expression" dxfId="4" priority="6">
      <formula>K6=""</formula>
    </cfRule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L6:L79">
    <cfRule type="cellIs" dxfId="1" priority="4" operator="greaterThan">
      <formula>0</formula>
    </cfRule>
    <cfRule type="cellIs" dxfId="0" priority="5" operator="less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245F-4962-4357-957A-96AB582ABB49}">
  <sheetPr>
    <tabColor rgb="FFD38817"/>
  </sheetPr>
  <dimension ref="A1:J75"/>
  <sheetViews>
    <sheetView zoomScale="70" zoomScaleNormal="70" workbookViewId="0">
      <selection activeCell="N5" sqref="N5"/>
    </sheetView>
  </sheetViews>
  <sheetFormatPr defaultRowHeight="14.5" x14ac:dyDescent="0.35"/>
  <cols>
    <col min="1" max="1" width="41.08984375" bestFit="1" customWidth="1"/>
    <col min="2" max="2" width="19.26953125" bestFit="1" customWidth="1"/>
    <col min="3" max="3" width="13.08984375" bestFit="1" customWidth="1"/>
    <col min="4" max="4" width="15.81640625" bestFit="1" customWidth="1"/>
    <col min="5" max="5" width="18.26953125" bestFit="1" customWidth="1"/>
    <col min="6" max="6" width="27.36328125" style="4" bestFit="1" customWidth="1"/>
    <col min="7" max="7" width="16.7265625" style="4" bestFit="1" customWidth="1"/>
    <col min="8" max="8" width="16.453125" bestFit="1" customWidth="1"/>
    <col min="9" max="9" width="34.36328125" bestFit="1" customWidth="1"/>
    <col min="10" max="10" width="39.453125" bestFit="1" customWidth="1"/>
  </cols>
  <sheetData>
    <row r="1" spans="1:10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s="4" t="s">
        <v>33</v>
      </c>
      <c r="G1" s="4" t="s">
        <v>34</v>
      </c>
      <c r="H1" t="s">
        <v>35</v>
      </c>
      <c r="I1" t="s">
        <v>36</v>
      </c>
      <c r="J1" t="s">
        <v>144</v>
      </c>
    </row>
    <row r="2" spans="1:10" x14ac:dyDescent="0.35">
      <c r="A2" t="s">
        <v>37</v>
      </c>
      <c r="B2">
        <v>8647</v>
      </c>
      <c r="C2">
        <v>9465</v>
      </c>
      <c r="D2">
        <v>2397</v>
      </c>
      <c r="E2">
        <v>1233131.72</v>
      </c>
      <c r="F2" s="4">
        <v>9.3299999999999994E-2</v>
      </c>
      <c r="G2" s="4">
        <v>8.5900000000000004E-2</v>
      </c>
      <c r="H2">
        <v>130.28</v>
      </c>
      <c r="I2">
        <v>142.61000000000001</v>
      </c>
      <c r="J2" t="str">
        <f t="shared" ref="J2:J33" si="0">PROPER(SUBSTITUTE(A2,"_"," "))</f>
        <v>Health Beauty</v>
      </c>
    </row>
    <row r="3" spans="1:10" x14ac:dyDescent="0.35">
      <c r="A3" t="s">
        <v>38</v>
      </c>
      <c r="B3">
        <v>5495</v>
      </c>
      <c r="C3">
        <v>5859</v>
      </c>
      <c r="D3">
        <v>1300</v>
      </c>
      <c r="E3">
        <v>1166176.98</v>
      </c>
      <c r="F3" s="4">
        <v>8.8200000000000001E-2</v>
      </c>
      <c r="G3" s="4">
        <v>5.3200000000000004E-2</v>
      </c>
      <c r="H3">
        <v>199.04</v>
      </c>
      <c r="I3">
        <v>212.23</v>
      </c>
      <c r="J3" t="str">
        <f t="shared" si="0"/>
        <v>Watches Gifts</v>
      </c>
    </row>
    <row r="4" spans="1:10" x14ac:dyDescent="0.35">
      <c r="A4" t="s">
        <v>39</v>
      </c>
      <c r="B4">
        <v>9272</v>
      </c>
      <c r="C4">
        <v>10953</v>
      </c>
      <c r="D4">
        <v>2991</v>
      </c>
      <c r="E4">
        <v>1023434.76</v>
      </c>
      <c r="F4" s="4">
        <v>7.7399999999999997E-2</v>
      </c>
      <c r="G4" s="4">
        <v>9.9399999999999988E-2</v>
      </c>
      <c r="H4">
        <v>93.44</v>
      </c>
      <c r="I4">
        <v>110.38</v>
      </c>
      <c r="J4" t="str">
        <f t="shared" si="0"/>
        <v>Bed Bath Table</v>
      </c>
    </row>
    <row r="5" spans="1:10" x14ac:dyDescent="0.35">
      <c r="A5" t="s">
        <v>40</v>
      </c>
      <c r="B5">
        <v>7530</v>
      </c>
      <c r="C5">
        <v>8431</v>
      </c>
      <c r="D5">
        <v>2822</v>
      </c>
      <c r="E5">
        <v>954852.55</v>
      </c>
      <c r="F5" s="4">
        <v>7.22E-2</v>
      </c>
      <c r="G5" s="4">
        <v>7.6499999999999999E-2</v>
      </c>
      <c r="H5">
        <v>113.25</v>
      </c>
      <c r="I5">
        <v>126.81</v>
      </c>
      <c r="J5" t="str">
        <f t="shared" si="0"/>
        <v>Sports Leisure</v>
      </c>
    </row>
    <row r="6" spans="1:10" x14ac:dyDescent="0.35">
      <c r="A6" t="s">
        <v>41</v>
      </c>
      <c r="B6">
        <v>6530</v>
      </c>
      <c r="C6">
        <v>7644</v>
      </c>
      <c r="D6">
        <v>1600</v>
      </c>
      <c r="E6">
        <v>888724.61</v>
      </c>
      <c r="F6" s="4">
        <v>6.7199999999999996E-2</v>
      </c>
      <c r="G6" s="4">
        <v>6.9400000000000003E-2</v>
      </c>
      <c r="H6">
        <v>116.26</v>
      </c>
      <c r="I6">
        <v>136.1</v>
      </c>
      <c r="J6" t="str">
        <f t="shared" si="0"/>
        <v>Computers Accessories</v>
      </c>
    </row>
    <row r="7" spans="1:10" x14ac:dyDescent="0.35">
      <c r="A7" t="s">
        <v>42</v>
      </c>
      <c r="B7">
        <v>6307</v>
      </c>
      <c r="C7">
        <v>8160</v>
      </c>
      <c r="D7">
        <v>2593</v>
      </c>
      <c r="E7">
        <v>711927.69</v>
      </c>
      <c r="F7" s="4">
        <v>5.3800000000000001E-2</v>
      </c>
      <c r="G7" s="4">
        <v>7.400000000000001E-2</v>
      </c>
      <c r="H7">
        <v>87.25</v>
      </c>
      <c r="I7">
        <v>112.88</v>
      </c>
      <c r="J7" t="str">
        <f t="shared" si="0"/>
        <v>Furniture Decor</v>
      </c>
    </row>
    <row r="8" spans="1:10" x14ac:dyDescent="0.35">
      <c r="A8" t="s">
        <v>43</v>
      </c>
      <c r="B8">
        <v>5743</v>
      </c>
      <c r="C8">
        <v>6795</v>
      </c>
      <c r="D8">
        <v>2282</v>
      </c>
      <c r="E8">
        <v>615628.68999999994</v>
      </c>
      <c r="F8" s="4">
        <v>4.6600000000000003E-2</v>
      </c>
      <c r="G8" s="4">
        <v>6.1699999999999998E-2</v>
      </c>
      <c r="H8">
        <v>90.6</v>
      </c>
      <c r="I8">
        <v>107.2</v>
      </c>
      <c r="J8" t="str">
        <f t="shared" si="0"/>
        <v>Housewares</v>
      </c>
    </row>
    <row r="9" spans="1:10" x14ac:dyDescent="0.35">
      <c r="A9" t="s">
        <v>44</v>
      </c>
      <c r="B9">
        <v>3559</v>
      </c>
      <c r="C9">
        <v>3718</v>
      </c>
      <c r="D9">
        <v>770</v>
      </c>
      <c r="E9">
        <v>610204.1</v>
      </c>
      <c r="F9" s="4">
        <v>4.6199999999999998E-2</v>
      </c>
      <c r="G9" s="4">
        <v>3.3700000000000001E-2</v>
      </c>
      <c r="H9">
        <v>164.12</v>
      </c>
      <c r="I9">
        <v>171.45</v>
      </c>
      <c r="J9" t="str">
        <f t="shared" si="0"/>
        <v>Cool Stuff</v>
      </c>
    </row>
    <row r="10" spans="1:10" x14ac:dyDescent="0.35">
      <c r="A10" t="s">
        <v>45</v>
      </c>
      <c r="B10">
        <v>3810</v>
      </c>
      <c r="C10">
        <v>4140</v>
      </c>
      <c r="D10">
        <v>1853</v>
      </c>
      <c r="E10">
        <v>578966.65</v>
      </c>
      <c r="F10" s="4">
        <v>4.3799999999999999E-2</v>
      </c>
      <c r="G10" s="4">
        <v>3.7599999999999995E-2</v>
      </c>
      <c r="H10">
        <v>139.85</v>
      </c>
      <c r="I10">
        <v>151.96</v>
      </c>
      <c r="J10" t="str">
        <f t="shared" si="0"/>
        <v>Auto</v>
      </c>
    </row>
    <row r="11" spans="1:10" x14ac:dyDescent="0.35">
      <c r="A11" t="s">
        <v>46</v>
      </c>
      <c r="B11">
        <v>3804</v>
      </c>
      <c r="C11">
        <v>4030</v>
      </c>
      <c r="D11">
        <v>1373</v>
      </c>
      <c r="E11">
        <v>471286.48</v>
      </c>
      <c r="F11" s="4">
        <v>3.56E-2</v>
      </c>
      <c r="G11" s="4">
        <v>3.6600000000000001E-2</v>
      </c>
      <c r="H11">
        <v>116.94</v>
      </c>
      <c r="I11">
        <v>123.89</v>
      </c>
      <c r="J11" t="str">
        <f t="shared" si="0"/>
        <v>Toys</v>
      </c>
    </row>
    <row r="12" spans="1:10" x14ac:dyDescent="0.35">
      <c r="A12" t="s">
        <v>47</v>
      </c>
      <c r="B12">
        <v>3448</v>
      </c>
      <c r="C12">
        <v>4268</v>
      </c>
      <c r="D12">
        <v>725</v>
      </c>
      <c r="E12">
        <v>470495.28</v>
      </c>
      <c r="F12" s="4">
        <v>3.56E-2</v>
      </c>
      <c r="G12" s="4">
        <v>3.8699999999999998E-2</v>
      </c>
      <c r="H12">
        <v>110.24</v>
      </c>
      <c r="I12">
        <v>136.44999999999999</v>
      </c>
      <c r="J12" t="str">
        <f t="shared" si="0"/>
        <v>Garden Tools</v>
      </c>
    </row>
    <row r="13" spans="1:10" x14ac:dyDescent="0.35">
      <c r="A13" t="s">
        <v>48</v>
      </c>
      <c r="B13">
        <v>2809</v>
      </c>
      <c r="C13">
        <v>2982</v>
      </c>
      <c r="D13">
        <v>890</v>
      </c>
      <c r="E13">
        <v>400421.84</v>
      </c>
      <c r="F13" s="4">
        <v>3.0299999999999997E-2</v>
      </c>
      <c r="G13" s="4">
        <v>2.7099999999999999E-2</v>
      </c>
      <c r="H13">
        <v>134.28</v>
      </c>
      <c r="I13">
        <v>142.55000000000001</v>
      </c>
      <c r="J13" t="str">
        <f t="shared" si="0"/>
        <v>Baby</v>
      </c>
    </row>
    <row r="14" spans="1:10" x14ac:dyDescent="0.35">
      <c r="A14" t="s">
        <v>49</v>
      </c>
      <c r="B14">
        <v>3086</v>
      </c>
      <c r="C14">
        <v>3340</v>
      </c>
      <c r="D14">
        <v>857</v>
      </c>
      <c r="E14">
        <v>390144.65</v>
      </c>
      <c r="F14" s="4">
        <v>2.9500000000000002E-2</v>
      </c>
      <c r="G14" s="4">
        <v>3.0299999999999997E-2</v>
      </c>
      <c r="H14">
        <v>116.81</v>
      </c>
      <c r="I14">
        <v>126.42</v>
      </c>
      <c r="J14" t="str">
        <f t="shared" si="0"/>
        <v>Perfumery</v>
      </c>
    </row>
    <row r="15" spans="1:10" x14ac:dyDescent="0.35">
      <c r="A15" t="s">
        <v>50</v>
      </c>
      <c r="B15">
        <v>4093</v>
      </c>
      <c r="C15">
        <v>4430</v>
      </c>
      <c r="D15">
        <v>1112</v>
      </c>
      <c r="E15">
        <v>309860.23</v>
      </c>
      <c r="F15" s="4">
        <v>2.3399999999999997E-2</v>
      </c>
      <c r="G15" s="4">
        <v>4.0199999999999993E-2</v>
      </c>
      <c r="H15">
        <v>69.95</v>
      </c>
      <c r="I15">
        <v>75.7</v>
      </c>
      <c r="J15" t="str">
        <f t="shared" si="0"/>
        <v>Telephony</v>
      </c>
    </row>
    <row r="16" spans="1:10" x14ac:dyDescent="0.35">
      <c r="A16" t="s">
        <v>51</v>
      </c>
      <c r="B16">
        <v>1254</v>
      </c>
      <c r="C16">
        <v>1668</v>
      </c>
      <c r="D16">
        <v>302</v>
      </c>
      <c r="E16">
        <v>268154.31</v>
      </c>
      <c r="F16" s="4">
        <v>2.0299999999999999E-2</v>
      </c>
      <c r="G16" s="4">
        <v>1.5100000000000001E-2</v>
      </c>
      <c r="H16">
        <v>160.76</v>
      </c>
      <c r="I16">
        <v>213.84</v>
      </c>
      <c r="J16" t="str">
        <f t="shared" si="0"/>
        <v>Office Furniture</v>
      </c>
    </row>
    <row r="17" spans="1:10" x14ac:dyDescent="0.35">
      <c r="A17" t="s">
        <v>52</v>
      </c>
      <c r="B17">
        <v>2264</v>
      </c>
      <c r="C17">
        <v>2466</v>
      </c>
      <c r="D17">
        <v>831</v>
      </c>
      <c r="E17">
        <v>223788.69</v>
      </c>
      <c r="F17" s="4">
        <v>1.6899999999999998E-2</v>
      </c>
      <c r="G17" s="4">
        <v>2.2400000000000003E-2</v>
      </c>
      <c r="H17">
        <v>90.75</v>
      </c>
      <c r="I17">
        <v>98.85</v>
      </c>
      <c r="J17" t="str">
        <f t="shared" si="0"/>
        <v>Stationery</v>
      </c>
    </row>
    <row r="18" spans="1:10" x14ac:dyDescent="0.35">
      <c r="A18" t="s">
        <v>53</v>
      </c>
      <c r="B18">
        <v>177</v>
      </c>
      <c r="C18">
        <v>199</v>
      </c>
      <c r="D18">
        <v>30</v>
      </c>
      <c r="E18">
        <v>218684.14</v>
      </c>
      <c r="F18" s="4">
        <v>1.6500000000000001E-2</v>
      </c>
      <c r="G18" s="4">
        <v>1.8E-3</v>
      </c>
      <c r="H18">
        <v>1098.92</v>
      </c>
      <c r="I18">
        <v>1235.5</v>
      </c>
      <c r="J18" t="str">
        <f t="shared" si="0"/>
        <v>Computers</v>
      </c>
    </row>
    <row r="19" spans="1:10" x14ac:dyDescent="0.35">
      <c r="A19" t="s">
        <v>54</v>
      </c>
      <c r="B19">
        <v>1688</v>
      </c>
      <c r="C19">
        <v>1924</v>
      </c>
      <c r="D19">
        <v>710</v>
      </c>
      <c r="E19">
        <v>211695.64</v>
      </c>
      <c r="F19" s="4">
        <v>1.6E-2</v>
      </c>
      <c r="G19" s="4">
        <v>1.7500000000000002E-2</v>
      </c>
      <c r="H19">
        <v>110.03</v>
      </c>
      <c r="I19">
        <v>125.41</v>
      </c>
      <c r="J19" t="str">
        <f t="shared" si="0"/>
        <v>Pet Shop</v>
      </c>
    </row>
    <row r="20" spans="1:10" x14ac:dyDescent="0.35">
      <c r="A20" t="s">
        <v>55</v>
      </c>
      <c r="B20">
        <v>611</v>
      </c>
      <c r="C20">
        <v>651</v>
      </c>
      <c r="D20">
        <v>279</v>
      </c>
      <c r="E20">
        <v>184315.74</v>
      </c>
      <c r="F20" s="4">
        <v>1.3899999999999999E-2</v>
      </c>
      <c r="G20" s="4">
        <v>5.8999999999999999E-3</v>
      </c>
      <c r="H20">
        <v>283.13</v>
      </c>
      <c r="I20">
        <v>301.66000000000003</v>
      </c>
      <c r="J20" t="str">
        <f t="shared" si="0"/>
        <v>Musical Instruments</v>
      </c>
    </row>
    <row r="21" spans="1:10" x14ac:dyDescent="0.35">
      <c r="A21" t="s">
        <v>56</v>
      </c>
      <c r="B21">
        <v>609</v>
      </c>
      <c r="C21">
        <v>658</v>
      </c>
      <c r="D21">
        <v>220</v>
      </c>
      <c r="E21">
        <v>182754.12</v>
      </c>
      <c r="F21" s="4">
        <v>1.38E-2</v>
      </c>
      <c r="G21" s="4">
        <v>6.0000000000000001E-3</v>
      </c>
      <c r="H21">
        <v>277.74</v>
      </c>
      <c r="I21">
        <v>300.08999999999997</v>
      </c>
      <c r="J21" t="str">
        <f t="shared" si="0"/>
        <v>Small Appliances</v>
      </c>
    </row>
    <row r="22" spans="1:10" x14ac:dyDescent="0.35">
      <c r="A22" t="s">
        <v>57</v>
      </c>
      <c r="B22">
        <v>1392</v>
      </c>
      <c r="C22">
        <v>1537</v>
      </c>
      <c r="D22">
        <v>584</v>
      </c>
      <c r="E22">
        <v>170726.63</v>
      </c>
      <c r="F22" s="4">
        <v>1.29E-2</v>
      </c>
      <c r="G22" s="4">
        <v>1.3899999999999999E-2</v>
      </c>
      <c r="H22">
        <v>111.08</v>
      </c>
      <c r="I22">
        <v>122.65</v>
      </c>
      <c r="J22" t="str">
        <f t="shared" si="0"/>
        <v>Unknown</v>
      </c>
    </row>
    <row r="23" spans="1:10" x14ac:dyDescent="0.35">
      <c r="A23" t="s">
        <v>58</v>
      </c>
      <c r="B23">
        <v>2517</v>
      </c>
      <c r="C23">
        <v>2729</v>
      </c>
      <c r="D23">
        <v>507</v>
      </c>
      <c r="E23">
        <v>155043.93</v>
      </c>
      <c r="F23" s="4">
        <v>1.1699999999999999E-2</v>
      </c>
      <c r="G23" s="4">
        <v>2.4799999999999999E-2</v>
      </c>
      <c r="H23">
        <v>56.81</v>
      </c>
      <c r="I23">
        <v>61.6</v>
      </c>
      <c r="J23" t="str">
        <f t="shared" si="0"/>
        <v>Electronics</v>
      </c>
    </row>
    <row r="24" spans="1:10" x14ac:dyDescent="0.35">
      <c r="A24" t="s">
        <v>59</v>
      </c>
      <c r="B24">
        <v>1820</v>
      </c>
      <c r="C24">
        <v>1985</v>
      </c>
      <c r="D24">
        <v>829</v>
      </c>
      <c r="E24">
        <v>149329.39000000001</v>
      </c>
      <c r="F24" s="4">
        <v>1.1299999999999999E-2</v>
      </c>
      <c r="G24" s="4">
        <v>1.8000000000000002E-2</v>
      </c>
      <c r="H24">
        <v>75.23</v>
      </c>
      <c r="I24">
        <v>82.05</v>
      </c>
      <c r="J24" t="str">
        <f t="shared" si="0"/>
        <v>Fashion Bags Accessories</v>
      </c>
    </row>
    <row r="25" spans="1:10" x14ac:dyDescent="0.35">
      <c r="A25" t="s">
        <v>60</v>
      </c>
      <c r="B25">
        <v>1018</v>
      </c>
      <c r="C25">
        <v>1089</v>
      </c>
      <c r="D25">
        <v>300</v>
      </c>
      <c r="E25">
        <v>148003.37</v>
      </c>
      <c r="F25" s="4">
        <v>1.1200000000000002E-2</v>
      </c>
      <c r="G25" s="4">
        <v>9.8999999999999991E-3</v>
      </c>
      <c r="H25">
        <v>135.91</v>
      </c>
      <c r="I25">
        <v>145.38999999999999</v>
      </c>
      <c r="J25" t="str">
        <f t="shared" si="0"/>
        <v>Consoles Games</v>
      </c>
    </row>
    <row r="26" spans="1:10" x14ac:dyDescent="0.35">
      <c r="A26" t="s">
        <v>61</v>
      </c>
      <c r="B26">
        <v>736</v>
      </c>
      <c r="C26">
        <v>916</v>
      </c>
      <c r="D26">
        <v>393</v>
      </c>
      <c r="E26">
        <v>142108.49</v>
      </c>
      <c r="F26" s="4">
        <v>1.0700000000000001E-2</v>
      </c>
      <c r="G26" s="4">
        <v>8.3000000000000001E-3</v>
      </c>
      <c r="H26">
        <v>155.13999999999999</v>
      </c>
      <c r="I26">
        <v>193.08</v>
      </c>
      <c r="J26" t="str">
        <f t="shared" si="0"/>
        <v>Construction Tools Construction</v>
      </c>
    </row>
    <row r="27" spans="1:10" x14ac:dyDescent="0.35">
      <c r="A27" t="s">
        <v>62</v>
      </c>
      <c r="B27">
        <v>1019</v>
      </c>
      <c r="C27">
        <v>1077</v>
      </c>
      <c r="D27">
        <v>346</v>
      </c>
      <c r="E27">
        <v>138701.63</v>
      </c>
      <c r="F27" s="4">
        <v>1.0500000000000001E-2</v>
      </c>
      <c r="G27" s="4">
        <v>9.7999999999999997E-3</v>
      </c>
      <c r="H27">
        <v>128.79</v>
      </c>
      <c r="I27">
        <v>136.12</v>
      </c>
      <c r="J27" t="str">
        <f t="shared" si="0"/>
        <v>Luggage Accessories</v>
      </c>
    </row>
    <row r="28" spans="1:10" x14ac:dyDescent="0.35">
      <c r="A28" t="s">
        <v>63</v>
      </c>
      <c r="B28">
        <v>227</v>
      </c>
      <c r="C28">
        <v>231</v>
      </c>
      <c r="D28">
        <v>88</v>
      </c>
      <c r="E28">
        <v>107953.95</v>
      </c>
      <c r="F28" s="4">
        <v>8.199999999999999E-3</v>
      </c>
      <c r="G28" s="4">
        <v>2.0999999999999999E-3</v>
      </c>
      <c r="H28">
        <v>467.33</v>
      </c>
      <c r="I28">
        <v>475.57</v>
      </c>
      <c r="J28" t="str">
        <f t="shared" si="0"/>
        <v>Home Appliances 2</v>
      </c>
    </row>
    <row r="29" spans="1:10" x14ac:dyDescent="0.35">
      <c r="A29" t="s">
        <v>64</v>
      </c>
      <c r="B29">
        <v>483</v>
      </c>
      <c r="C29">
        <v>596</v>
      </c>
      <c r="D29">
        <v>221</v>
      </c>
      <c r="E29">
        <v>81407.570000000007</v>
      </c>
      <c r="F29" s="4">
        <v>6.1999999999999998E-3</v>
      </c>
      <c r="G29" s="4">
        <v>5.4000000000000003E-3</v>
      </c>
      <c r="H29">
        <v>136.59</v>
      </c>
      <c r="I29">
        <v>168.55</v>
      </c>
      <c r="J29" t="str">
        <f t="shared" si="0"/>
        <v>Home Construction</v>
      </c>
    </row>
    <row r="30" spans="1:10" x14ac:dyDescent="0.35">
      <c r="A30" t="s">
        <v>65</v>
      </c>
      <c r="B30">
        <v>747</v>
      </c>
      <c r="C30">
        <v>754</v>
      </c>
      <c r="D30">
        <v>364</v>
      </c>
      <c r="E30">
        <v>78832.479999999996</v>
      </c>
      <c r="F30" s="4">
        <v>6.0000000000000001E-3</v>
      </c>
      <c r="G30" s="4">
        <v>6.8000000000000005E-3</v>
      </c>
      <c r="H30">
        <v>104.55</v>
      </c>
      <c r="I30">
        <v>105.53</v>
      </c>
      <c r="J30" t="str">
        <f t="shared" si="0"/>
        <v>Home Appliances</v>
      </c>
    </row>
    <row r="31" spans="1:10" x14ac:dyDescent="0.35">
      <c r="A31" t="s">
        <v>66</v>
      </c>
      <c r="B31">
        <v>177</v>
      </c>
      <c r="C31">
        <v>206</v>
      </c>
      <c r="D31">
        <v>71</v>
      </c>
      <c r="E31">
        <v>70566.100000000006</v>
      </c>
      <c r="F31" s="4">
        <v>5.3E-3</v>
      </c>
      <c r="G31" s="4">
        <v>1.9E-3</v>
      </c>
      <c r="H31">
        <v>342.55</v>
      </c>
      <c r="I31">
        <v>398.68</v>
      </c>
      <c r="J31" t="str">
        <f t="shared" si="0"/>
        <v>Agro Industry And Commerce</v>
      </c>
    </row>
    <row r="32" spans="1:10" x14ac:dyDescent="0.35">
      <c r="A32" t="s">
        <v>67</v>
      </c>
      <c r="B32">
        <v>414</v>
      </c>
      <c r="C32">
        <v>495</v>
      </c>
      <c r="D32">
        <v>152</v>
      </c>
      <c r="E32">
        <v>67350.7</v>
      </c>
      <c r="F32" s="4">
        <v>5.1000000000000004E-3</v>
      </c>
      <c r="G32" s="4">
        <v>4.5000000000000005E-3</v>
      </c>
      <c r="H32">
        <v>136.06</v>
      </c>
      <c r="I32">
        <v>162.68</v>
      </c>
      <c r="J32" t="str">
        <f t="shared" si="0"/>
        <v>Furniture Living Room</v>
      </c>
    </row>
    <row r="33" spans="1:10" x14ac:dyDescent="0.35">
      <c r="A33" t="s">
        <v>68</v>
      </c>
      <c r="B33">
        <v>392</v>
      </c>
      <c r="C33">
        <v>429</v>
      </c>
      <c r="D33">
        <v>111</v>
      </c>
      <c r="E33">
        <v>58008.45</v>
      </c>
      <c r="F33" s="4">
        <v>4.4000000000000003E-3</v>
      </c>
      <c r="G33" s="4">
        <v>3.9000000000000003E-3</v>
      </c>
      <c r="H33">
        <v>135.22</v>
      </c>
      <c r="I33">
        <v>147.97999999999999</v>
      </c>
      <c r="J33" t="str">
        <f t="shared" si="0"/>
        <v>Home Confort</v>
      </c>
    </row>
    <row r="34" spans="1:10" x14ac:dyDescent="0.35">
      <c r="A34" t="s">
        <v>69</v>
      </c>
      <c r="B34">
        <v>212</v>
      </c>
      <c r="C34">
        <v>255</v>
      </c>
      <c r="D34">
        <v>113</v>
      </c>
      <c r="E34">
        <v>55315.21</v>
      </c>
      <c r="F34" s="4">
        <v>4.1999999999999997E-3</v>
      </c>
      <c r="G34" s="4">
        <v>2.3E-3</v>
      </c>
      <c r="H34">
        <v>216.92</v>
      </c>
      <c r="I34">
        <v>260.92</v>
      </c>
      <c r="J34" t="str">
        <f t="shared" ref="J34:J65" si="1">PROPER(SUBSTITUTE(A34,"_"," "))</f>
        <v>Fixed Telephony</v>
      </c>
    </row>
    <row r="35" spans="1:10" x14ac:dyDescent="0.35">
      <c r="A35" t="s">
        <v>70</v>
      </c>
      <c r="B35">
        <v>246</v>
      </c>
      <c r="C35">
        <v>289</v>
      </c>
      <c r="D35">
        <v>121</v>
      </c>
      <c r="E35">
        <v>53323.56</v>
      </c>
      <c r="F35" s="4">
        <v>4.0000000000000001E-3</v>
      </c>
      <c r="G35" s="4">
        <v>2.5999999999999999E-3</v>
      </c>
      <c r="H35">
        <v>184.51</v>
      </c>
      <c r="I35">
        <v>216.76</v>
      </c>
      <c r="J35" t="str">
        <f t="shared" si="1"/>
        <v>Air Conditioning</v>
      </c>
    </row>
    <row r="36" spans="1:10" x14ac:dyDescent="0.35">
      <c r="A36" t="s">
        <v>71</v>
      </c>
      <c r="B36">
        <v>348</v>
      </c>
      <c r="C36">
        <v>362</v>
      </c>
      <c r="D36">
        <v>58</v>
      </c>
      <c r="E36">
        <v>50570.6</v>
      </c>
      <c r="F36" s="4">
        <v>3.8E-3</v>
      </c>
      <c r="G36" s="4">
        <v>3.3E-3</v>
      </c>
      <c r="H36">
        <v>139.69999999999999</v>
      </c>
      <c r="I36">
        <v>145.32</v>
      </c>
      <c r="J36" t="str">
        <f t="shared" si="1"/>
        <v>Audio</v>
      </c>
    </row>
    <row r="37" spans="1:10" x14ac:dyDescent="0.35">
      <c r="A37" t="s">
        <v>72</v>
      </c>
      <c r="B37">
        <v>72</v>
      </c>
      <c r="C37">
        <v>73</v>
      </c>
      <c r="D37">
        <v>30</v>
      </c>
      <c r="E37">
        <v>46589.56</v>
      </c>
      <c r="F37" s="4">
        <v>3.4999999999999996E-3</v>
      </c>
      <c r="G37" s="4">
        <v>7.000000000000001E-4</v>
      </c>
      <c r="H37">
        <v>638.21</v>
      </c>
      <c r="I37">
        <v>647.08000000000004</v>
      </c>
      <c r="J37" t="str">
        <f t="shared" si="1"/>
        <v>Small Appliances Home Oven And Coffee</v>
      </c>
    </row>
    <row r="38" spans="1:10" x14ac:dyDescent="0.35">
      <c r="A38" t="s">
        <v>73</v>
      </c>
      <c r="B38">
        <v>241</v>
      </c>
      <c r="C38">
        <v>274</v>
      </c>
      <c r="D38">
        <v>92</v>
      </c>
      <c r="E38">
        <v>45531.98</v>
      </c>
      <c r="F38" s="4">
        <v>3.4000000000000002E-3</v>
      </c>
      <c r="G38" s="4">
        <v>2.5000000000000001E-3</v>
      </c>
      <c r="H38">
        <v>166.18</v>
      </c>
      <c r="I38">
        <v>188.93</v>
      </c>
      <c r="J38" t="str">
        <f t="shared" si="1"/>
        <v>Kitchen Dining Laundry Garden Furniture</v>
      </c>
    </row>
    <row r="39" spans="1:10" x14ac:dyDescent="0.35">
      <c r="A39" t="s">
        <v>74</v>
      </c>
      <c r="B39">
        <v>496</v>
      </c>
      <c r="C39">
        <v>537</v>
      </c>
      <c r="D39">
        <v>207</v>
      </c>
      <c r="E39">
        <v>45302.15</v>
      </c>
      <c r="F39" s="4">
        <v>3.4000000000000002E-3</v>
      </c>
      <c r="G39" s="4">
        <v>4.8999999999999998E-3</v>
      </c>
      <c r="H39">
        <v>84.36</v>
      </c>
      <c r="I39">
        <v>91.33</v>
      </c>
      <c r="J39" t="str">
        <f t="shared" si="1"/>
        <v>Books General Interest</v>
      </c>
    </row>
    <row r="40" spans="1:10" x14ac:dyDescent="0.35">
      <c r="A40" t="s">
        <v>75</v>
      </c>
      <c r="B40">
        <v>242</v>
      </c>
      <c r="C40">
        <v>301</v>
      </c>
      <c r="D40">
        <v>77</v>
      </c>
      <c r="E40">
        <v>39957</v>
      </c>
      <c r="F40" s="4">
        <v>3.0000000000000001E-3</v>
      </c>
      <c r="G40" s="4">
        <v>2.7000000000000001E-3</v>
      </c>
      <c r="H40">
        <v>132.75</v>
      </c>
      <c r="I40">
        <v>165.11</v>
      </c>
      <c r="J40" t="str">
        <f t="shared" si="1"/>
        <v>Construction Tools Lights</v>
      </c>
    </row>
    <row r="41" spans="1:10" x14ac:dyDescent="0.35">
      <c r="A41" t="s">
        <v>76</v>
      </c>
      <c r="B41">
        <v>159</v>
      </c>
      <c r="C41">
        <v>183</v>
      </c>
      <c r="D41">
        <v>88</v>
      </c>
      <c r="E41">
        <v>38773.22</v>
      </c>
      <c r="F41" s="4">
        <v>2.8999999999999998E-3</v>
      </c>
      <c r="G41" s="4">
        <v>1.7000000000000001E-3</v>
      </c>
      <c r="H41">
        <v>211.88</v>
      </c>
      <c r="I41">
        <v>243.86</v>
      </c>
      <c r="J41" t="str">
        <f t="shared" si="1"/>
        <v>Construction Tools Safety</v>
      </c>
    </row>
    <row r="42" spans="1:10" x14ac:dyDescent="0.35">
      <c r="A42" t="s">
        <v>77</v>
      </c>
      <c r="B42">
        <v>232</v>
      </c>
      <c r="C42">
        <v>265</v>
      </c>
      <c r="D42">
        <v>68</v>
      </c>
      <c r="E42">
        <v>38498.81</v>
      </c>
      <c r="F42" s="4">
        <v>2.8999999999999998E-3</v>
      </c>
      <c r="G42" s="4">
        <v>2.3999999999999998E-3</v>
      </c>
      <c r="H42">
        <v>145.28</v>
      </c>
      <c r="I42">
        <v>165.94</v>
      </c>
      <c r="J42" t="str">
        <f t="shared" si="1"/>
        <v>Industry Commerce And Business</v>
      </c>
    </row>
    <row r="43" spans="1:10" x14ac:dyDescent="0.35">
      <c r="A43" t="s">
        <v>78</v>
      </c>
      <c r="B43">
        <v>441</v>
      </c>
      <c r="C43">
        <v>499</v>
      </c>
      <c r="D43">
        <v>79</v>
      </c>
      <c r="E43">
        <v>28731.15</v>
      </c>
      <c r="F43" s="4">
        <v>2.2000000000000001E-3</v>
      </c>
      <c r="G43" s="4">
        <v>4.5000000000000005E-3</v>
      </c>
      <c r="H43">
        <v>57.58</v>
      </c>
      <c r="I43">
        <v>65.150000000000006</v>
      </c>
      <c r="J43" t="str">
        <f t="shared" si="1"/>
        <v>Food</v>
      </c>
    </row>
    <row r="44" spans="1:10" x14ac:dyDescent="0.35">
      <c r="A44" t="s">
        <v>79</v>
      </c>
      <c r="B44">
        <v>274</v>
      </c>
      <c r="C44">
        <v>305</v>
      </c>
      <c r="D44">
        <v>99</v>
      </c>
      <c r="E44">
        <v>27795.77</v>
      </c>
      <c r="F44" s="4">
        <v>2.0999999999999999E-3</v>
      </c>
      <c r="G44" s="4">
        <v>2.8000000000000004E-3</v>
      </c>
      <c r="H44">
        <v>91.13</v>
      </c>
      <c r="I44">
        <v>101.44</v>
      </c>
      <c r="J44" t="str">
        <f t="shared" si="1"/>
        <v>Market Place</v>
      </c>
    </row>
    <row r="45" spans="1:10" x14ac:dyDescent="0.35">
      <c r="A45" t="s">
        <v>80</v>
      </c>
      <c r="B45">
        <v>190</v>
      </c>
      <c r="C45">
        <v>232</v>
      </c>
      <c r="D45">
        <v>86</v>
      </c>
      <c r="E45">
        <v>25096.28</v>
      </c>
      <c r="F45" s="4">
        <v>1.9E-3</v>
      </c>
      <c r="G45" s="4">
        <v>2.0999999999999999E-3</v>
      </c>
      <c r="H45">
        <v>108.17</v>
      </c>
      <c r="I45">
        <v>132.09</v>
      </c>
      <c r="J45" t="str">
        <f t="shared" si="1"/>
        <v>Costruction Tools Garden</v>
      </c>
    </row>
    <row r="46" spans="1:10" x14ac:dyDescent="0.35">
      <c r="A46" t="s">
        <v>81</v>
      </c>
      <c r="B46">
        <v>195</v>
      </c>
      <c r="C46">
        <v>197</v>
      </c>
      <c r="D46">
        <v>52</v>
      </c>
      <c r="E46">
        <v>23657.3</v>
      </c>
      <c r="F46" s="4">
        <v>1.8E-3</v>
      </c>
      <c r="G46" s="4">
        <v>1.8E-3</v>
      </c>
      <c r="H46">
        <v>120.09</v>
      </c>
      <c r="I46">
        <v>121.32</v>
      </c>
      <c r="J46" t="str">
        <f t="shared" si="1"/>
        <v>Art</v>
      </c>
    </row>
    <row r="47" spans="1:10" x14ac:dyDescent="0.35">
      <c r="A47" t="s">
        <v>82</v>
      </c>
      <c r="B47">
        <v>235</v>
      </c>
      <c r="C47">
        <v>257</v>
      </c>
      <c r="D47">
        <v>170</v>
      </c>
      <c r="E47">
        <v>23001.46</v>
      </c>
      <c r="F47" s="4">
        <v>1.7000000000000001E-3</v>
      </c>
      <c r="G47" s="4">
        <v>2.3E-3</v>
      </c>
      <c r="H47">
        <v>89.5</v>
      </c>
      <c r="I47">
        <v>97.88</v>
      </c>
      <c r="J47" t="str">
        <f t="shared" si="1"/>
        <v>Fashion Shoes</v>
      </c>
    </row>
    <row r="48" spans="1:10" x14ac:dyDescent="0.35">
      <c r="A48" t="s">
        <v>83</v>
      </c>
      <c r="B48">
        <v>287</v>
      </c>
      <c r="C48">
        <v>361</v>
      </c>
      <c r="D48">
        <v>80</v>
      </c>
      <c r="E48">
        <v>21529.84</v>
      </c>
      <c r="F48" s="4">
        <v>1.6000000000000001E-3</v>
      </c>
      <c r="G48" s="4">
        <v>3.3E-3</v>
      </c>
      <c r="H48">
        <v>59.64</v>
      </c>
      <c r="I48">
        <v>75.02</v>
      </c>
      <c r="J48" t="str">
        <f t="shared" si="1"/>
        <v>Drinks</v>
      </c>
    </row>
    <row r="49" spans="1:10" x14ac:dyDescent="0.35">
      <c r="A49" t="s">
        <v>84</v>
      </c>
      <c r="B49">
        <v>138</v>
      </c>
      <c r="C49">
        <v>197</v>
      </c>
      <c r="D49">
        <v>91</v>
      </c>
      <c r="E49">
        <v>21315.05</v>
      </c>
      <c r="F49" s="4">
        <v>1.6000000000000001E-3</v>
      </c>
      <c r="G49" s="4">
        <v>1.8E-3</v>
      </c>
      <c r="H49">
        <v>108.2</v>
      </c>
      <c r="I49">
        <v>154.46</v>
      </c>
      <c r="J49" t="str">
        <f t="shared" si="1"/>
        <v>Signaling And Security</v>
      </c>
    </row>
    <row r="50" spans="1:10" x14ac:dyDescent="0.35">
      <c r="A50" t="s">
        <v>85</v>
      </c>
      <c r="B50">
        <v>90</v>
      </c>
      <c r="C50">
        <v>103</v>
      </c>
      <c r="D50">
        <v>43</v>
      </c>
      <c r="E50">
        <v>19051.8</v>
      </c>
      <c r="F50" s="4">
        <v>1.4000000000000002E-3</v>
      </c>
      <c r="G50" s="4">
        <v>8.9999999999999998E-4</v>
      </c>
      <c r="H50">
        <v>184.97</v>
      </c>
      <c r="I50">
        <v>211.69</v>
      </c>
      <c r="J50" t="str">
        <f t="shared" si="1"/>
        <v>Furniture Bedroom</v>
      </c>
    </row>
    <row r="51" spans="1:10" x14ac:dyDescent="0.35">
      <c r="A51" t="s">
        <v>86</v>
      </c>
      <c r="B51">
        <v>256</v>
      </c>
      <c r="C51">
        <v>263</v>
      </c>
      <c r="D51">
        <v>122</v>
      </c>
      <c r="E51">
        <v>18702.23</v>
      </c>
      <c r="F51" s="4">
        <v>1.4000000000000002E-3</v>
      </c>
      <c r="G51" s="4">
        <v>2.3999999999999998E-3</v>
      </c>
      <c r="H51">
        <v>71.11</v>
      </c>
      <c r="I51">
        <v>73.06</v>
      </c>
      <c r="J51" t="str">
        <f t="shared" si="1"/>
        <v>Books Technical</v>
      </c>
    </row>
    <row r="52" spans="1:10" x14ac:dyDescent="0.35">
      <c r="A52" t="s">
        <v>87</v>
      </c>
      <c r="B52">
        <v>97</v>
      </c>
      <c r="C52">
        <v>103</v>
      </c>
      <c r="D52">
        <v>39</v>
      </c>
      <c r="E52">
        <v>15903.95</v>
      </c>
      <c r="F52" s="4">
        <v>1.1999999999999999E-3</v>
      </c>
      <c r="G52" s="4">
        <v>8.9999999999999998E-4</v>
      </c>
      <c r="H52">
        <v>154.41</v>
      </c>
      <c r="I52">
        <v>163.96</v>
      </c>
      <c r="J52" t="str">
        <f t="shared" si="1"/>
        <v>Costruction Tools Tools</v>
      </c>
    </row>
    <row r="53" spans="1:10" x14ac:dyDescent="0.35">
      <c r="A53" t="s">
        <v>88</v>
      </c>
      <c r="B53">
        <v>221</v>
      </c>
      <c r="C53">
        <v>269</v>
      </c>
      <c r="D53">
        <v>99</v>
      </c>
      <c r="E53">
        <v>14942.88</v>
      </c>
      <c r="F53" s="4">
        <v>1.1000000000000001E-3</v>
      </c>
      <c r="G53" s="4">
        <v>2.3999999999999998E-3</v>
      </c>
      <c r="H53">
        <v>55.55</v>
      </c>
      <c r="I53">
        <v>67.61</v>
      </c>
      <c r="J53" t="str">
        <f t="shared" si="1"/>
        <v>Food Drink</v>
      </c>
    </row>
    <row r="54" spans="1:10" x14ac:dyDescent="0.35">
      <c r="A54" t="s">
        <v>89</v>
      </c>
      <c r="B54">
        <v>106</v>
      </c>
      <c r="C54">
        <v>125</v>
      </c>
      <c r="D54">
        <v>89</v>
      </c>
      <c r="E54">
        <v>10452.33</v>
      </c>
      <c r="F54" s="4">
        <v>8.0000000000000004E-4</v>
      </c>
      <c r="G54" s="4">
        <v>1.1000000000000001E-3</v>
      </c>
      <c r="H54">
        <v>83.62</v>
      </c>
      <c r="I54">
        <v>98.61</v>
      </c>
      <c r="J54" t="str">
        <f t="shared" si="1"/>
        <v>Fashion Male Clothing</v>
      </c>
    </row>
    <row r="55" spans="1:10" x14ac:dyDescent="0.35">
      <c r="A55" t="s">
        <v>90</v>
      </c>
      <c r="B55">
        <v>117</v>
      </c>
      <c r="C55">
        <v>127</v>
      </c>
      <c r="D55">
        <v>52</v>
      </c>
      <c r="E55">
        <v>9305.9500000000007</v>
      </c>
      <c r="F55" s="4">
        <v>7.000000000000001E-4</v>
      </c>
      <c r="G55" s="4">
        <v>1.1999999999999999E-3</v>
      </c>
      <c r="H55">
        <v>73.28</v>
      </c>
      <c r="I55">
        <v>79.540000000000006</v>
      </c>
      <c r="J55" t="str">
        <f t="shared" si="1"/>
        <v>Fashion Underwear Beach</v>
      </c>
    </row>
    <row r="56" spans="1:10" x14ac:dyDescent="0.35">
      <c r="A56" t="s">
        <v>91</v>
      </c>
      <c r="B56">
        <v>125</v>
      </c>
      <c r="C56">
        <v>150</v>
      </c>
      <c r="D56">
        <v>63</v>
      </c>
      <c r="E56">
        <v>8737.84</v>
      </c>
      <c r="F56" s="4">
        <v>7.000000000000001E-4</v>
      </c>
      <c r="G56" s="4">
        <v>1.4000000000000002E-3</v>
      </c>
      <c r="H56">
        <v>58.25</v>
      </c>
      <c r="I56">
        <v>69.900000000000006</v>
      </c>
      <c r="J56" t="str">
        <f t="shared" si="1"/>
        <v>Christmas Supplies</v>
      </c>
    </row>
    <row r="57" spans="1:10" x14ac:dyDescent="0.35">
      <c r="A57" t="s">
        <v>92</v>
      </c>
      <c r="B57">
        <v>79</v>
      </c>
      <c r="C57">
        <v>83</v>
      </c>
      <c r="D57">
        <v>9</v>
      </c>
      <c r="E57">
        <v>7528.41</v>
      </c>
      <c r="F57" s="4">
        <v>5.9999999999999995E-4</v>
      </c>
      <c r="G57" s="4">
        <v>8.0000000000000004E-4</v>
      </c>
      <c r="H57">
        <v>90.7</v>
      </c>
      <c r="I57">
        <v>95.3</v>
      </c>
      <c r="J57" t="str">
        <f t="shared" si="1"/>
        <v>Tablets Printing Image</v>
      </c>
    </row>
    <row r="58" spans="1:10" x14ac:dyDescent="0.35">
      <c r="A58" t="s">
        <v>93</v>
      </c>
      <c r="B58">
        <v>63</v>
      </c>
      <c r="C58">
        <v>70</v>
      </c>
      <c r="D58">
        <v>26</v>
      </c>
      <c r="E58">
        <v>6674.47</v>
      </c>
      <c r="F58" s="4">
        <v>5.0000000000000001E-4</v>
      </c>
      <c r="G58" s="4">
        <v>5.9999999999999995E-4</v>
      </c>
      <c r="H58">
        <v>95.35</v>
      </c>
      <c r="I58">
        <v>105.94</v>
      </c>
      <c r="J58" t="str">
        <f t="shared" si="1"/>
        <v>Cine Photo</v>
      </c>
    </row>
    <row r="59" spans="1:10" x14ac:dyDescent="0.35">
      <c r="A59" t="s">
        <v>94</v>
      </c>
      <c r="B59">
        <v>38</v>
      </c>
      <c r="C59">
        <v>38</v>
      </c>
      <c r="D59">
        <v>27</v>
      </c>
      <c r="E59">
        <v>6034.35</v>
      </c>
      <c r="F59" s="4">
        <v>5.0000000000000001E-4</v>
      </c>
      <c r="G59" s="4">
        <v>2.9999999999999997E-4</v>
      </c>
      <c r="H59">
        <v>158.80000000000001</v>
      </c>
      <c r="I59">
        <v>158.80000000000001</v>
      </c>
      <c r="J59" t="str">
        <f t="shared" si="1"/>
        <v>Music</v>
      </c>
    </row>
    <row r="60" spans="1:10" x14ac:dyDescent="0.35">
      <c r="A60" t="s">
        <v>95</v>
      </c>
      <c r="B60">
        <v>56</v>
      </c>
      <c r="C60">
        <v>61</v>
      </c>
      <c r="D60">
        <v>46</v>
      </c>
      <c r="E60">
        <v>4542.59</v>
      </c>
      <c r="F60" s="4">
        <v>2.9999999999999997E-4</v>
      </c>
      <c r="G60" s="4">
        <v>5.9999999999999995E-4</v>
      </c>
      <c r="H60">
        <v>74.47</v>
      </c>
      <c r="I60">
        <v>81.12</v>
      </c>
      <c r="J60" t="str">
        <f t="shared" si="1"/>
        <v>Dvds Blu Ray</v>
      </c>
    </row>
    <row r="61" spans="1:10" x14ac:dyDescent="0.35">
      <c r="A61" t="s">
        <v>96</v>
      </c>
      <c r="B61">
        <v>38</v>
      </c>
      <c r="C61">
        <v>42</v>
      </c>
      <c r="D61">
        <v>25</v>
      </c>
      <c r="E61">
        <v>4465.1899999999996</v>
      </c>
      <c r="F61" s="4">
        <v>2.9999999999999997E-4</v>
      </c>
      <c r="G61" s="4">
        <v>4.0000000000000002E-4</v>
      </c>
      <c r="H61">
        <v>106.31</v>
      </c>
      <c r="I61">
        <v>117.51</v>
      </c>
      <c r="J61" t="str">
        <f t="shared" si="1"/>
        <v>Party Supplies</v>
      </c>
    </row>
    <row r="62" spans="1:10" x14ac:dyDescent="0.35">
      <c r="A62" t="s">
        <v>97</v>
      </c>
      <c r="B62">
        <v>50</v>
      </c>
      <c r="C62">
        <v>57</v>
      </c>
      <c r="D62">
        <v>30</v>
      </c>
      <c r="E62">
        <v>4418.8599999999997</v>
      </c>
      <c r="F62" s="4">
        <v>2.9999999999999997E-4</v>
      </c>
      <c r="G62" s="4">
        <v>5.0000000000000001E-4</v>
      </c>
      <c r="H62">
        <v>77.52</v>
      </c>
      <c r="I62">
        <v>88.38</v>
      </c>
      <c r="J62" t="str">
        <f t="shared" si="1"/>
        <v>Books Imported</v>
      </c>
    </row>
    <row r="63" spans="1:10" x14ac:dyDescent="0.35">
      <c r="A63" t="s">
        <v>98</v>
      </c>
      <c r="B63">
        <v>37</v>
      </c>
      <c r="C63">
        <v>37</v>
      </c>
      <c r="D63">
        <v>10</v>
      </c>
      <c r="E63">
        <v>4323.38</v>
      </c>
      <c r="F63" s="4">
        <v>2.9999999999999997E-4</v>
      </c>
      <c r="G63" s="4">
        <v>2.9999999999999997E-4</v>
      </c>
      <c r="H63">
        <v>116.85</v>
      </c>
      <c r="I63">
        <v>116.85</v>
      </c>
      <c r="J63" t="str">
        <f t="shared" si="1"/>
        <v>Furniture Mattress And Upholstery</v>
      </c>
    </row>
    <row r="64" spans="1:10" x14ac:dyDescent="0.35">
      <c r="A64" t="s">
        <v>99</v>
      </c>
      <c r="B64">
        <v>13</v>
      </c>
      <c r="C64">
        <v>14</v>
      </c>
      <c r="D64">
        <v>9</v>
      </c>
      <c r="E64">
        <v>3933.63</v>
      </c>
      <c r="F64" s="4">
        <v>2.9999999999999997E-4</v>
      </c>
      <c r="G64" s="4">
        <v>1E-4</v>
      </c>
      <c r="H64">
        <v>280.97000000000003</v>
      </c>
      <c r="I64">
        <v>302.58999999999997</v>
      </c>
      <c r="J64" t="str">
        <f t="shared" si="1"/>
        <v>Portateis Cozinha E Preparadores De Alimentos</v>
      </c>
    </row>
    <row r="65" spans="1:10" x14ac:dyDescent="0.35">
      <c r="A65" t="s">
        <v>100</v>
      </c>
      <c r="B65">
        <v>36</v>
      </c>
      <c r="C65">
        <v>45</v>
      </c>
      <c r="D65">
        <v>26</v>
      </c>
      <c r="E65">
        <v>2634.94</v>
      </c>
      <c r="F65" s="4">
        <v>2.0000000000000001E-4</v>
      </c>
      <c r="G65" s="4">
        <v>4.0000000000000002E-4</v>
      </c>
      <c r="H65">
        <v>58.55</v>
      </c>
      <c r="I65">
        <v>73.19</v>
      </c>
      <c r="J65" t="str">
        <f t="shared" si="1"/>
        <v>Fashio Female Clothing</v>
      </c>
    </row>
    <row r="66" spans="1:10" x14ac:dyDescent="0.35">
      <c r="A66" t="s">
        <v>101</v>
      </c>
      <c r="B66">
        <v>26</v>
      </c>
      <c r="C66">
        <v>29</v>
      </c>
      <c r="D66">
        <v>19</v>
      </c>
      <c r="E66">
        <v>2094.52</v>
      </c>
      <c r="F66" s="4">
        <v>2.0000000000000001E-4</v>
      </c>
      <c r="G66" s="4">
        <v>2.9999999999999997E-4</v>
      </c>
      <c r="H66">
        <v>72.22</v>
      </c>
      <c r="I66">
        <v>80.56</v>
      </c>
      <c r="J66" t="str">
        <f t="shared" ref="J66:J75" si="2">PROPER(SUBSTITUTE(A66,"_"," "))</f>
        <v>Fashion Sport</v>
      </c>
    </row>
    <row r="67" spans="1:10" x14ac:dyDescent="0.35">
      <c r="A67" t="s">
        <v>102</v>
      </c>
      <c r="B67">
        <v>13</v>
      </c>
      <c r="C67">
        <v>14</v>
      </c>
      <c r="D67">
        <v>10</v>
      </c>
      <c r="E67">
        <v>2054.9899999999998</v>
      </c>
      <c r="F67" s="4">
        <v>2.0000000000000001E-4</v>
      </c>
      <c r="G67" s="4">
        <v>1E-4</v>
      </c>
      <c r="H67">
        <v>146.79</v>
      </c>
      <c r="I67">
        <v>158.08000000000001</v>
      </c>
      <c r="J67" t="str">
        <f t="shared" si="2"/>
        <v>La Cuisine</v>
      </c>
    </row>
    <row r="68" spans="1:10" x14ac:dyDescent="0.35">
      <c r="A68" t="s">
        <v>103</v>
      </c>
      <c r="B68">
        <v>23</v>
      </c>
      <c r="C68">
        <v>24</v>
      </c>
      <c r="D68">
        <v>19</v>
      </c>
      <c r="E68">
        <v>1814.01</v>
      </c>
      <c r="F68" s="4">
        <v>1E-4</v>
      </c>
      <c r="G68" s="4">
        <v>2.0000000000000001E-4</v>
      </c>
      <c r="H68">
        <v>75.58</v>
      </c>
      <c r="I68">
        <v>78.87</v>
      </c>
      <c r="J68" t="str">
        <f t="shared" si="2"/>
        <v>Arts And Craftmanship</v>
      </c>
    </row>
    <row r="69" spans="1:10" x14ac:dyDescent="0.35">
      <c r="A69" t="s">
        <v>104</v>
      </c>
      <c r="B69">
        <v>25</v>
      </c>
      <c r="C69">
        <v>37</v>
      </c>
      <c r="D69">
        <v>11</v>
      </c>
      <c r="E69">
        <v>1500.79</v>
      </c>
      <c r="F69" s="4">
        <v>1E-4</v>
      </c>
      <c r="G69" s="4">
        <v>2.9999999999999997E-4</v>
      </c>
      <c r="H69">
        <v>40.56</v>
      </c>
      <c r="I69">
        <v>60.03</v>
      </c>
      <c r="J69" t="str">
        <f t="shared" si="2"/>
        <v>Diapers And Hygiene</v>
      </c>
    </row>
    <row r="70" spans="1:10" x14ac:dyDescent="0.35">
      <c r="A70" t="s">
        <v>105</v>
      </c>
      <c r="B70">
        <v>7</v>
      </c>
      <c r="C70">
        <v>8</v>
      </c>
      <c r="D70">
        <v>2</v>
      </c>
      <c r="E70">
        <v>1306.95</v>
      </c>
      <c r="F70" s="4">
        <v>1E-4</v>
      </c>
      <c r="G70" s="4">
        <v>1E-4</v>
      </c>
      <c r="H70">
        <v>163.37</v>
      </c>
      <c r="I70">
        <v>186.71</v>
      </c>
      <c r="J70" t="str">
        <f t="shared" si="2"/>
        <v>Pc Gamer</v>
      </c>
    </row>
    <row r="71" spans="1:10" x14ac:dyDescent="0.35">
      <c r="A71" t="s">
        <v>106</v>
      </c>
      <c r="B71">
        <v>29</v>
      </c>
      <c r="C71">
        <v>33</v>
      </c>
      <c r="D71">
        <v>14</v>
      </c>
      <c r="E71">
        <v>1110.04</v>
      </c>
      <c r="F71" s="4">
        <v>1E-4</v>
      </c>
      <c r="G71" s="4">
        <v>2.9999999999999997E-4</v>
      </c>
      <c r="H71">
        <v>33.64</v>
      </c>
      <c r="I71">
        <v>38.28</v>
      </c>
      <c r="J71" t="str">
        <f t="shared" si="2"/>
        <v>Flowers</v>
      </c>
    </row>
    <row r="72" spans="1:10" x14ac:dyDescent="0.35">
      <c r="A72" t="s">
        <v>107</v>
      </c>
      <c r="B72">
        <v>24</v>
      </c>
      <c r="C72">
        <v>30</v>
      </c>
      <c r="D72">
        <v>5</v>
      </c>
      <c r="E72">
        <v>760.27</v>
      </c>
      <c r="F72" s="4">
        <v>1E-4</v>
      </c>
      <c r="G72" s="4">
        <v>2.9999999999999997E-4</v>
      </c>
      <c r="H72">
        <v>25.34</v>
      </c>
      <c r="I72">
        <v>31.68</v>
      </c>
      <c r="J72" t="str">
        <f t="shared" si="2"/>
        <v>Home Comfort 2</v>
      </c>
    </row>
    <row r="73" spans="1:10" x14ac:dyDescent="0.35">
      <c r="A73" t="s">
        <v>108</v>
      </c>
      <c r="B73">
        <v>12</v>
      </c>
      <c r="C73">
        <v>14</v>
      </c>
      <c r="D73">
        <v>1</v>
      </c>
      <c r="E73">
        <v>730</v>
      </c>
      <c r="F73" s="4">
        <v>1E-4</v>
      </c>
      <c r="G73" s="4">
        <v>1E-4</v>
      </c>
      <c r="H73">
        <v>52.14</v>
      </c>
      <c r="I73">
        <v>60.83</v>
      </c>
      <c r="J73" t="str">
        <f t="shared" si="2"/>
        <v>Cds Dvds Musicals</v>
      </c>
    </row>
    <row r="74" spans="1:10" x14ac:dyDescent="0.35">
      <c r="A74" t="s">
        <v>109</v>
      </c>
      <c r="B74">
        <v>7</v>
      </c>
      <c r="C74">
        <v>7</v>
      </c>
      <c r="D74">
        <v>4</v>
      </c>
      <c r="E74">
        <v>519.95000000000005</v>
      </c>
      <c r="F74" s="4">
        <v>0</v>
      </c>
      <c r="G74" s="4">
        <v>1E-4</v>
      </c>
      <c r="H74">
        <v>74.28</v>
      </c>
      <c r="I74">
        <v>74.28</v>
      </c>
      <c r="J74" t="str">
        <f t="shared" si="2"/>
        <v>Fashion Childrens Clothes</v>
      </c>
    </row>
    <row r="75" spans="1:10" x14ac:dyDescent="0.35">
      <c r="A75" t="s">
        <v>110</v>
      </c>
      <c r="B75">
        <v>2</v>
      </c>
      <c r="C75">
        <v>2</v>
      </c>
      <c r="D75">
        <v>2</v>
      </c>
      <c r="E75">
        <v>283.29000000000002</v>
      </c>
      <c r="F75" s="4">
        <v>0</v>
      </c>
      <c r="G75" s="4">
        <v>0</v>
      </c>
      <c r="H75">
        <v>141.65</v>
      </c>
      <c r="I75">
        <v>141.65</v>
      </c>
      <c r="J75" t="str">
        <f t="shared" si="2"/>
        <v>Security And Services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4324-C63C-494B-BE34-FEDC3F0E82E0}">
  <sheetPr>
    <tabColor rgb="FFD38817"/>
  </sheetPr>
  <dimension ref="A1:M75"/>
  <sheetViews>
    <sheetView zoomScale="63" zoomScaleNormal="70" workbookViewId="0">
      <selection activeCell="A53" sqref="A53"/>
    </sheetView>
  </sheetViews>
  <sheetFormatPr defaultRowHeight="14.5" x14ac:dyDescent="0.35"/>
  <cols>
    <col min="1" max="1" width="40.90625" bestFit="1" customWidth="1"/>
    <col min="2" max="3" width="23.1796875" bestFit="1" customWidth="1"/>
    <col min="4" max="5" width="17.08984375" bestFit="1" customWidth="1"/>
    <col min="6" max="7" width="22.453125" bestFit="1" customWidth="1"/>
    <col min="8" max="8" width="24.6328125" bestFit="1" customWidth="1"/>
    <col min="9" max="11" width="27.81640625" style="4" bestFit="1" customWidth="1"/>
    <col min="12" max="12" width="29.36328125" bestFit="1" customWidth="1"/>
    <col min="13" max="13" width="31.54296875" style="4" bestFit="1" customWidth="1"/>
  </cols>
  <sheetData>
    <row r="1" spans="1:13" x14ac:dyDescent="0.35">
      <c r="A1" t="s">
        <v>28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s="4" t="s">
        <v>118</v>
      </c>
      <c r="J1" s="4" t="s">
        <v>119</v>
      </c>
      <c r="K1" s="4" t="s">
        <v>120</v>
      </c>
      <c r="L1" t="s">
        <v>121</v>
      </c>
      <c r="M1" s="4" t="s">
        <v>122</v>
      </c>
    </row>
    <row r="2" spans="1:13" x14ac:dyDescent="0.35">
      <c r="A2" t="s">
        <v>37</v>
      </c>
      <c r="B2">
        <v>1682</v>
      </c>
      <c r="C2">
        <v>5305</v>
      </c>
      <c r="D2">
        <v>1822</v>
      </c>
      <c r="E2">
        <v>5841</v>
      </c>
      <c r="F2">
        <v>243521.7</v>
      </c>
      <c r="G2">
        <v>755724.5</v>
      </c>
      <c r="H2">
        <v>512202.8</v>
      </c>
      <c r="I2" s="4">
        <v>2.1032999999999999</v>
      </c>
      <c r="J2" s="4">
        <v>8.14E-2</v>
      </c>
      <c r="K2" s="4">
        <v>0.1047</v>
      </c>
      <c r="L2">
        <v>2.33</v>
      </c>
      <c r="M2" s="4">
        <v>0.12119999999999999</v>
      </c>
    </row>
    <row r="3" spans="1:13" x14ac:dyDescent="0.35">
      <c r="A3" t="s">
        <v>38</v>
      </c>
      <c r="B3">
        <v>783</v>
      </c>
      <c r="C3">
        <v>3418</v>
      </c>
      <c r="D3">
        <v>839</v>
      </c>
      <c r="E3">
        <v>3628</v>
      </c>
      <c r="F3">
        <v>201137.86</v>
      </c>
      <c r="G3">
        <v>687855.2</v>
      </c>
      <c r="H3">
        <v>486717.34</v>
      </c>
      <c r="I3" s="4">
        <v>2.4198</v>
      </c>
      <c r="J3" s="4">
        <v>6.7199999999999996E-2</v>
      </c>
      <c r="K3" s="4">
        <v>9.5299999999999996E-2</v>
      </c>
      <c r="L3">
        <v>2.81</v>
      </c>
      <c r="M3" s="4">
        <v>0.1152</v>
      </c>
    </row>
    <row r="4" spans="1:13" x14ac:dyDescent="0.35">
      <c r="A4" t="s">
        <v>40</v>
      </c>
      <c r="B4">
        <v>1742</v>
      </c>
      <c r="C4">
        <v>3973</v>
      </c>
      <c r="D4">
        <v>1982</v>
      </c>
      <c r="E4">
        <v>4436</v>
      </c>
      <c r="F4">
        <v>216724.33</v>
      </c>
      <c r="G4">
        <v>517166.26</v>
      </c>
      <c r="H4">
        <v>300441.93</v>
      </c>
      <c r="I4" s="4">
        <v>1.3862999999999999</v>
      </c>
      <c r="J4" s="4">
        <v>7.2400000000000006E-2</v>
      </c>
      <c r="K4" s="4">
        <v>7.1599999999999997E-2</v>
      </c>
      <c r="L4">
        <v>-0.08</v>
      </c>
      <c r="M4" s="4">
        <v>7.1099999999999997E-2</v>
      </c>
    </row>
    <row r="5" spans="1:13" x14ac:dyDescent="0.35">
      <c r="A5" t="s">
        <v>41</v>
      </c>
      <c r="B5">
        <v>1402</v>
      </c>
      <c r="C5">
        <v>3972</v>
      </c>
      <c r="D5">
        <v>1658</v>
      </c>
      <c r="E5">
        <v>4622</v>
      </c>
      <c r="F5">
        <v>214631.27</v>
      </c>
      <c r="G5">
        <v>496269.3</v>
      </c>
      <c r="H5">
        <v>281638.03000000003</v>
      </c>
      <c r="I5" s="4">
        <v>1.3122</v>
      </c>
      <c r="J5" s="4">
        <v>7.17E-2</v>
      </c>
      <c r="K5" s="4">
        <v>6.88E-2</v>
      </c>
      <c r="L5">
        <v>-0.28999999999999998</v>
      </c>
      <c r="M5" s="4">
        <v>6.6699999999999995E-2</v>
      </c>
    </row>
    <row r="6" spans="1:13" x14ac:dyDescent="0.35">
      <c r="A6" t="s">
        <v>39</v>
      </c>
      <c r="B6">
        <v>2245</v>
      </c>
      <c r="C6">
        <v>4844</v>
      </c>
      <c r="D6">
        <v>2558</v>
      </c>
      <c r="E6">
        <v>5810</v>
      </c>
      <c r="F6">
        <v>254444.82</v>
      </c>
      <c r="G6">
        <v>532358.85</v>
      </c>
      <c r="H6">
        <v>277914.03000000003</v>
      </c>
      <c r="I6" s="4">
        <v>1.0922000000000001</v>
      </c>
      <c r="J6" s="4">
        <v>8.5000000000000006E-2</v>
      </c>
      <c r="K6" s="4">
        <v>7.3800000000000004E-2</v>
      </c>
      <c r="L6">
        <v>-1.1200000000000001</v>
      </c>
      <c r="M6" s="4">
        <v>6.5799999999999997E-2</v>
      </c>
    </row>
    <row r="7" spans="1:13" x14ac:dyDescent="0.35">
      <c r="A7" t="s">
        <v>43</v>
      </c>
      <c r="B7">
        <v>1390</v>
      </c>
      <c r="C7">
        <v>3351</v>
      </c>
      <c r="D7">
        <v>1636</v>
      </c>
      <c r="E7">
        <v>3969</v>
      </c>
      <c r="F7">
        <v>127534.54</v>
      </c>
      <c r="G7">
        <v>391823.46</v>
      </c>
      <c r="H7">
        <v>264288.92</v>
      </c>
      <c r="I7" s="4">
        <v>2.0722999999999998</v>
      </c>
      <c r="J7" s="4">
        <v>4.2599999999999999E-2</v>
      </c>
      <c r="K7" s="4">
        <v>5.4299999999999994E-2</v>
      </c>
      <c r="L7">
        <v>1.17</v>
      </c>
      <c r="M7" s="4">
        <v>6.2600000000000003E-2</v>
      </c>
    </row>
    <row r="8" spans="1:13" x14ac:dyDescent="0.35">
      <c r="A8" t="s">
        <v>45</v>
      </c>
      <c r="B8">
        <v>677</v>
      </c>
      <c r="C8">
        <v>2419</v>
      </c>
      <c r="D8">
        <v>774</v>
      </c>
      <c r="E8">
        <v>2580</v>
      </c>
      <c r="F8">
        <v>125247.48</v>
      </c>
      <c r="G8">
        <v>343288.3</v>
      </c>
      <c r="H8">
        <v>218040.82</v>
      </c>
      <c r="I8" s="4">
        <v>1.7409000000000001</v>
      </c>
      <c r="J8" s="4">
        <v>4.1799999999999997E-2</v>
      </c>
      <c r="K8" s="4">
        <v>4.7599999999999996E-2</v>
      </c>
      <c r="L8">
        <v>0.56999999999999995</v>
      </c>
      <c r="M8" s="4">
        <v>5.16E-2</v>
      </c>
    </row>
    <row r="9" spans="1:13" x14ac:dyDescent="0.35">
      <c r="A9" t="s">
        <v>42</v>
      </c>
      <c r="B9">
        <v>1735</v>
      </c>
      <c r="C9">
        <v>3147</v>
      </c>
      <c r="D9">
        <v>2181</v>
      </c>
      <c r="E9">
        <v>4051</v>
      </c>
      <c r="F9">
        <v>170858.58</v>
      </c>
      <c r="G9">
        <v>381649.57</v>
      </c>
      <c r="H9">
        <v>210790.99</v>
      </c>
      <c r="I9" s="4">
        <v>1.2337</v>
      </c>
      <c r="J9" s="4">
        <v>5.7099999999999998E-2</v>
      </c>
      <c r="K9" s="4">
        <v>5.2900000000000003E-2</v>
      </c>
      <c r="L9">
        <v>-0.42</v>
      </c>
      <c r="M9" s="4">
        <v>4.99E-2</v>
      </c>
    </row>
    <row r="10" spans="1:13" x14ac:dyDescent="0.35">
      <c r="A10" t="s">
        <v>48</v>
      </c>
      <c r="B10">
        <v>559</v>
      </c>
      <c r="C10">
        <v>1627</v>
      </c>
      <c r="D10">
        <v>596</v>
      </c>
      <c r="E10">
        <v>1731</v>
      </c>
      <c r="F10">
        <v>67998.259999999995</v>
      </c>
      <c r="G10">
        <v>250615.79</v>
      </c>
      <c r="H10">
        <v>182617.53</v>
      </c>
      <c r="I10" s="4">
        <v>2.6856</v>
      </c>
      <c r="J10" s="4">
        <v>2.2700000000000001E-2</v>
      </c>
      <c r="K10" s="4">
        <v>3.4700000000000002E-2</v>
      </c>
      <c r="L10">
        <v>1.2</v>
      </c>
      <c r="M10" s="4">
        <v>4.3200000000000002E-2</v>
      </c>
    </row>
    <row r="11" spans="1:13" x14ac:dyDescent="0.35">
      <c r="A11" t="s">
        <v>61</v>
      </c>
      <c r="B11">
        <v>20</v>
      </c>
      <c r="C11">
        <v>636</v>
      </c>
      <c r="D11">
        <v>26</v>
      </c>
      <c r="E11">
        <v>787</v>
      </c>
      <c r="F11">
        <v>2581.4899999999998</v>
      </c>
      <c r="G11">
        <v>122886.61</v>
      </c>
      <c r="H11">
        <v>120305.12</v>
      </c>
      <c r="I11" s="4">
        <v>46.603000000000002</v>
      </c>
      <c r="J11" s="4">
        <v>8.9999999999999998E-4</v>
      </c>
      <c r="K11" s="4">
        <v>1.7000000000000001E-2</v>
      </c>
      <c r="L11">
        <v>1.62</v>
      </c>
      <c r="M11" s="4">
        <v>2.8500000000000001E-2</v>
      </c>
    </row>
    <row r="12" spans="1:13" x14ac:dyDescent="0.35">
      <c r="A12" t="s">
        <v>50</v>
      </c>
      <c r="B12">
        <v>1009</v>
      </c>
      <c r="C12">
        <v>2117</v>
      </c>
      <c r="D12">
        <v>1081</v>
      </c>
      <c r="E12">
        <v>2293</v>
      </c>
      <c r="F12">
        <v>57472.639999999999</v>
      </c>
      <c r="G12">
        <v>174123.68</v>
      </c>
      <c r="H12">
        <v>116651.04</v>
      </c>
      <c r="I12" s="4">
        <v>2.0297000000000001</v>
      </c>
      <c r="J12" s="4">
        <v>1.9199999999999998E-2</v>
      </c>
      <c r="K12" s="4">
        <v>2.41E-2</v>
      </c>
      <c r="L12">
        <v>0.49</v>
      </c>
      <c r="M12" s="4">
        <v>2.76E-2</v>
      </c>
    </row>
    <row r="13" spans="1:13" x14ac:dyDescent="0.35">
      <c r="A13" t="s">
        <v>52</v>
      </c>
      <c r="B13">
        <v>361</v>
      </c>
      <c r="C13">
        <v>1367</v>
      </c>
      <c r="D13">
        <v>383</v>
      </c>
      <c r="E13">
        <v>1501</v>
      </c>
      <c r="F13">
        <v>36724.959999999999</v>
      </c>
      <c r="G13">
        <v>132315.75</v>
      </c>
      <c r="H13">
        <v>95590.79</v>
      </c>
      <c r="I13" s="4">
        <v>2.6029</v>
      </c>
      <c r="J13" s="4">
        <v>1.23E-2</v>
      </c>
      <c r="K13" s="4">
        <v>1.83E-2</v>
      </c>
      <c r="L13">
        <v>0.61</v>
      </c>
      <c r="M13" s="4">
        <v>2.2599999999999999E-2</v>
      </c>
    </row>
    <row r="14" spans="1:13" x14ac:dyDescent="0.35">
      <c r="A14" t="s">
        <v>54</v>
      </c>
      <c r="B14">
        <v>405</v>
      </c>
      <c r="C14">
        <v>1002</v>
      </c>
      <c r="D14">
        <v>458</v>
      </c>
      <c r="E14">
        <v>1146</v>
      </c>
      <c r="F14">
        <v>49083.29</v>
      </c>
      <c r="G14">
        <v>126849.64</v>
      </c>
      <c r="H14">
        <v>77766.350000000006</v>
      </c>
      <c r="I14" s="4">
        <v>1.5844</v>
      </c>
      <c r="J14" s="4">
        <v>1.6399999999999998E-2</v>
      </c>
      <c r="K14" s="4">
        <v>1.7600000000000001E-2</v>
      </c>
      <c r="L14">
        <v>0.12</v>
      </c>
      <c r="M14" s="4">
        <v>1.84E-2</v>
      </c>
    </row>
    <row r="15" spans="1:13" x14ac:dyDescent="0.35">
      <c r="A15" t="s">
        <v>63</v>
      </c>
      <c r="B15">
        <v>46</v>
      </c>
      <c r="C15">
        <v>145</v>
      </c>
      <c r="D15">
        <v>47</v>
      </c>
      <c r="E15">
        <v>148</v>
      </c>
      <c r="F15">
        <v>10473.93</v>
      </c>
      <c r="G15">
        <v>86902.86</v>
      </c>
      <c r="H15">
        <v>76428.929999999993</v>
      </c>
      <c r="I15" s="4">
        <v>7.2971000000000004</v>
      </c>
      <c r="J15" s="4">
        <v>3.4999999999999996E-3</v>
      </c>
      <c r="K15" s="4">
        <v>1.2E-2</v>
      </c>
      <c r="L15">
        <v>0.85</v>
      </c>
      <c r="M15" s="4">
        <v>1.8100000000000002E-2</v>
      </c>
    </row>
    <row r="16" spans="1:13" x14ac:dyDescent="0.35">
      <c r="A16" t="s">
        <v>47</v>
      </c>
      <c r="B16">
        <v>872</v>
      </c>
      <c r="C16">
        <v>1509</v>
      </c>
      <c r="D16">
        <v>1042</v>
      </c>
      <c r="E16">
        <v>1849</v>
      </c>
      <c r="F16">
        <v>138051.15</v>
      </c>
      <c r="G16">
        <v>212186.2</v>
      </c>
      <c r="H16">
        <v>74135.05</v>
      </c>
      <c r="I16" s="4">
        <v>0.53700000000000003</v>
      </c>
      <c r="J16" s="4">
        <v>4.6100000000000002E-2</v>
      </c>
      <c r="K16" s="4">
        <v>2.9399999999999999E-2</v>
      </c>
      <c r="L16">
        <v>-1.67</v>
      </c>
      <c r="M16" s="4">
        <v>1.7500000000000002E-2</v>
      </c>
    </row>
    <row r="17" spans="1:13" x14ac:dyDescent="0.35">
      <c r="A17" t="s">
        <v>58</v>
      </c>
      <c r="B17">
        <v>338</v>
      </c>
      <c r="C17">
        <v>1706</v>
      </c>
      <c r="D17">
        <v>371</v>
      </c>
      <c r="E17">
        <v>1837</v>
      </c>
      <c r="F17">
        <v>28973.43</v>
      </c>
      <c r="G17">
        <v>99735.6</v>
      </c>
      <c r="H17">
        <v>70762.17</v>
      </c>
      <c r="I17" s="4">
        <v>2.4422999999999999</v>
      </c>
      <c r="J17" s="4">
        <v>9.7000000000000003E-3</v>
      </c>
      <c r="K17" s="4">
        <v>1.38E-2</v>
      </c>
      <c r="L17">
        <v>0.41</v>
      </c>
      <c r="M17" s="4">
        <v>1.67E-2</v>
      </c>
    </row>
    <row r="18" spans="1:13" x14ac:dyDescent="0.35">
      <c r="A18" t="s">
        <v>55</v>
      </c>
      <c r="B18">
        <v>118</v>
      </c>
      <c r="C18">
        <v>370</v>
      </c>
      <c r="D18">
        <v>129</v>
      </c>
      <c r="E18">
        <v>393</v>
      </c>
      <c r="F18">
        <v>37051.410000000003</v>
      </c>
      <c r="G18">
        <v>105827.28</v>
      </c>
      <c r="H18">
        <v>68775.87</v>
      </c>
      <c r="I18" s="4">
        <v>1.8562000000000001</v>
      </c>
      <c r="J18" s="4">
        <v>1.24E-2</v>
      </c>
      <c r="K18" s="4">
        <v>1.47E-2</v>
      </c>
      <c r="L18">
        <v>0.23</v>
      </c>
      <c r="M18" s="4">
        <v>1.6299999999999999E-2</v>
      </c>
    </row>
    <row r="19" spans="1:13" x14ac:dyDescent="0.35">
      <c r="A19" t="s">
        <v>51</v>
      </c>
      <c r="B19">
        <v>394</v>
      </c>
      <c r="C19">
        <v>636</v>
      </c>
      <c r="D19">
        <v>481</v>
      </c>
      <c r="E19">
        <v>870</v>
      </c>
      <c r="F19">
        <v>74662.009999999995</v>
      </c>
      <c r="G19">
        <v>140578.35</v>
      </c>
      <c r="H19">
        <v>65916.34</v>
      </c>
      <c r="I19" s="4">
        <v>0.88290000000000002</v>
      </c>
      <c r="J19" s="4">
        <v>2.4900000000000002E-2</v>
      </c>
      <c r="K19" s="4">
        <v>1.95E-2</v>
      </c>
      <c r="L19">
        <v>-0.55000000000000004</v>
      </c>
      <c r="M19" s="4">
        <v>1.5600000000000001E-2</v>
      </c>
    </row>
    <row r="20" spans="1:13" x14ac:dyDescent="0.35">
      <c r="A20" t="s">
        <v>49</v>
      </c>
      <c r="B20">
        <v>780</v>
      </c>
      <c r="C20">
        <v>1458</v>
      </c>
      <c r="D20">
        <v>828</v>
      </c>
      <c r="E20">
        <v>1606</v>
      </c>
      <c r="F20">
        <v>121953.36</v>
      </c>
      <c r="G20">
        <v>174372</v>
      </c>
      <c r="H20">
        <v>52418.64</v>
      </c>
      <c r="I20" s="4">
        <v>0.42979999999999996</v>
      </c>
      <c r="J20" s="4">
        <v>4.07E-2</v>
      </c>
      <c r="K20" s="4">
        <v>2.4199999999999999E-2</v>
      </c>
      <c r="L20">
        <v>-1.66</v>
      </c>
      <c r="M20" s="4">
        <v>1.24E-2</v>
      </c>
    </row>
    <row r="21" spans="1:13" x14ac:dyDescent="0.35">
      <c r="A21" t="s">
        <v>64</v>
      </c>
      <c r="B21">
        <v>24</v>
      </c>
      <c r="C21">
        <v>373</v>
      </c>
      <c r="D21">
        <v>37</v>
      </c>
      <c r="E21">
        <v>454</v>
      </c>
      <c r="F21">
        <v>6721.45</v>
      </c>
      <c r="G21">
        <v>57665.120000000003</v>
      </c>
      <c r="H21">
        <v>50943.67</v>
      </c>
      <c r="I21" s="4">
        <v>7.5792999999999999</v>
      </c>
      <c r="J21" s="4">
        <v>2.2000000000000001E-3</v>
      </c>
      <c r="K21" s="4">
        <v>8.0000000000000002E-3</v>
      </c>
      <c r="L21">
        <v>0.56999999999999995</v>
      </c>
      <c r="M21" s="4">
        <v>1.21E-2</v>
      </c>
    </row>
    <row r="22" spans="1:13" x14ac:dyDescent="0.35">
      <c r="A22" t="s">
        <v>46</v>
      </c>
      <c r="B22">
        <v>1011</v>
      </c>
      <c r="C22">
        <v>1378</v>
      </c>
      <c r="D22">
        <v>1059</v>
      </c>
      <c r="E22">
        <v>1454</v>
      </c>
      <c r="F22">
        <v>118449.64</v>
      </c>
      <c r="G22">
        <v>168123.27</v>
      </c>
      <c r="H22">
        <v>49673.63</v>
      </c>
      <c r="I22" s="4">
        <v>0.4194</v>
      </c>
      <c r="J22" s="4">
        <v>3.9599999999999996E-2</v>
      </c>
      <c r="K22" s="4">
        <v>2.3300000000000001E-2</v>
      </c>
      <c r="L22">
        <v>-1.63</v>
      </c>
      <c r="M22" s="4">
        <v>1.18E-2</v>
      </c>
    </row>
    <row r="23" spans="1:13" x14ac:dyDescent="0.35">
      <c r="A23" t="s">
        <v>72</v>
      </c>
      <c r="B23">
        <v>2</v>
      </c>
      <c r="C23">
        <v>69</v>
      </c>
      <c r="D23">
        <v>2</v>
      </c>
      <c r="E23">
        <v>70</v>
      </c>
      <c r="F23">
        <v>93.8</v>
      </c>
      <c r="G23">
        <v>45854.77</v>
      </c>
      <c r="H23">
        <v>45760.97</v>
      </c>
      <c r="I23" s="4">
        <v>487.85680000000002</v>
      </c>
      <c r="J23" s="4">
        <v>0</v>
      </c>
      <c r="K23" s="4">
        <v>6.4000000000000003E-3</v>
      </c>
      <c r="L23">
        <v>0.63</v>
      </c>
      <c r="M23" s="4">
        <v>1.0800000000000001E-2</v>
      </c>
    </row>
    <row r="24" spans="1:13" x14ac:dyDescent="0.35">
      <c r="A24" t="s">
        <v>65</v>
      </c>
      <c r="B24">
        <v>174</v>
      </c>
      <c r="C24">
        <v>515</v>
      </c>
      <c r="D24">
        <v>177</v>
      </c>
      <c r="E24">
        <v>519</v>
      </c>
      <c r="F24">
        <v>13566.92</v>
      </c>
      <c r="G24">
        <v>55760.75</v>
      </c>
      <c r="H24">
        <v>42193.83</v>
      </c>
      <c r="I24" s="4">
        <v>3.1101000000000001</v>
      </c>
      <c r="J24" s="4">
        <v>4.5000000000000005E-3</v>
      </c>
      <c r="K24" s="4">
        <v>7.7000000000000002E-3</v>
      </c>
      <c r="L24">
        <v>0.32</v>
      </c>
      <c r="M24" s="4">
        <v>0.01</v>
      </c>
    </row>
    <row r="25" spans="1:13" x14ac:dyDescent="0.35">
      <c r="A25" t="s">
        <v>66</v>
      </c>
      <c r="B25">
        <v>18</v>
      </c>
      <c r="C25">
        <v>129</v>
      </c>
      <c r="D25">
        <v>22</v>
      </c>
      <c r="E25">
        <v>145</v>
      </c>
      <c r="F25">
        <v>4610.74</v>
      </c>
      <c r="G25">
        <v>41386.9</v>
      </c>
      <c r="H25">
        <v>36776.160000000003</v>
      </c>
      <c r="I25" s="4">
        <v>7.9762000000000004</v>
      </c>
      <c r="J25" s="4">
        <v>1.5E-3</v>
      </c>
      <c r="K25" s="4">
        <v>5.6999999999999993E-3</v>
      </c>
      <c r="L25">
        <v>0.42</v>
      </c>
      <c r="M25" s="4">
        <v>8.6999999999999994E-3</v>
      </c>
    </row>
    <row r="26" spans="1:13" x14ac:dyDescent="0.35">
      <c r="A26" t="s">
        <v>75</v>
      </c>
      <c r="B26">
        <v>3</v>
      </c>
      <c r="C26">
        <v>225</v>
      </c>
      <c r="D26">
        <v>3</v>
      </c>
      <c r="E26">
        <v>283</v>
      </c>
      <c r="F26">
        <v>949</v>
      </c>
      <c r="G26">
        <v>35903.519999999997</v>
      </c>
      <c r="H26">
        <v>34954.519999999997</v>
      </c>
      <c r="I26" s="4">
        <v>36.832999999999998</v>
      </c>
      <c r="J26" s="4">
        <v>2.9999999999999997E-4</v>
      </c>
      <c r="K26" s="4">
        <v>5.0000000000000001E-3</v>
      </c>
      <c r="L26">
        <v>0.47</v>
      </c>
      <c r="M26" s="4">
        <v>8.3000000000000001E-3</v>
      </c>
    </row>
    <row r="27" spans="1:13" x14ac:dyDescent="0.35">
      <c r="A27" t="s">
        <v>59</v>
      </c>
      <c r="B27">
        <v>497</v>
      </c>
      <c r="C27">
        <v>820</v>
      </c>
      <c r="D27">
        <v>551</v>
      </c>
      <c r="E27">
        <v>868</v>
      </c>
      <c r="F27">
        <v>37140.769999999997</v>
      </c>
      <c r="G27">
        <v>69592.429999999993</v>
      </c>
      <c r="H27">
        <v>32451.66</v>
      </c>
      <c r="I27" s="4">
        <v>0.87370000000000003</v>
      </c>
      <c r="J27" s="4">
        <v>1.24E-2</v>
      </c>
      <c r="K27" s="4">
        <v>9.5999999999999992E-3</v>
      </c>
      <c r="L27">
        <v>-0.28000000000000003</v>
      </c>
      <c r="M27" s="4">
        <v>7.7000000000000002E-3</v>
      </c>
    </row>
    <row r="28" spans="1:13" x14ac:dyDescent="0.35">
      <c r="A28" t="s">
        <v>76</v>
      </c>
      <c r="B28">
        <v>2</v>
      </c>
      <c r="C28">
        <v>125</v>
      </c>
      <c r="D28">
        <v>2</v>
      </c>
      <c r="E28">
        <v>143</v>
      </c>
      <c r="F28">
        <v>387.9</v>
      </c>
      <c r="G28">
        <v>30926.32</v>
      </c>
      <c r="H28">
        <v>30538.42</v>
      </c>
      <c r="I28" s="4">
        <v>78.727599999999995</v>
      </c>
      <c r="J28" s="4">
        <v>1E-4</v>
      </c>
      <c r="K28" s="4">
        <v>4.3E-3</v>
      </c>
      <c r="L28">
        <v>0.42</v>
      </c>
      <c r="M28" s="4">
        <v>7.1999999999999998E-3</v>
      </c>
    </row>
    <row r="29" spans="1:13" x14ac:dyDescent="0.35">
      <c r="A29" t="s">
        <v>77</v>
      </c>
      <c r="B29">
        <v>12</v>
      </c>
      <c r="C29">
        <v>195</v>
      </c>
      <c r="D29">
        <v>12</v>
      </c>
      <c r="E29">
        <v>227</v>
      </c>
      <c r="F29">
        <v>2356.63</v>
      </c>
      <c r="G29">
        <v>29482.54</v>
      </c>
      <c r="H29">
        <v>27125.91</v>
      </c>
      <c r="I29" s="4">
        <v>11.5105</v>
      </c>
      <c r="J29" s="4">
        <v>8.0000000000000004E-4</v>
      </c>
      <c r="K29" s="4">
        <v>4.0999999999999995E-3</v>
      </c>
      <c r="L29">
        <v>0.33</v>
      </c>
      <c r="M29" s="4">
        <v>6.4000000000000003E-3</v>
      </c>
    </row>
    <row r="30" spans="1:13" x14ac:dyDescent="0.35">
      <c r="A30" t="s">
        <v>71</v>
      </c>
      <c r="B30">
        <v>68</v>
      </c>
      <c r="C30">
        <v>187</v>
      </c>
      <c r="D30">
        <v>71</v>
      </c>
      <c r="E30">
        <v>195</v>
      </c>
      <c r="F30">
        <v>7717.34</v>
      </c>
      <c r="G30">
        <v>32960.94</v>
      </c>
      <c r="H30">
        <v>25243.599999999999</v>
      </c>
      <c r="I30" s="4">
        <v>3.2710000000000004</v>
      </c>
      <c r="J30" s="4">
        <v>2.5999999999999999E-3</v>
      </c>
      <c r="K30" s="4">
        <v>4.5999999999999999E-3</v>
      </c>
      <c r="L30">
        <v>0.2</v>
      </c>
      <c r="M30" s="4">
        <v>6.0000000000000001E-3</v>
      </c>
    </row>
    <row r="31" spans="1:13" x14ac:dyDescent="0.35">
      <c r="A31" t="s">
        <v>53</v>
      </c>
      <c r="B31">
        <v>30</v>
      </c>
      <c r="C31">
        <v>56</v>
      </c>
      <c r="D31">
        <v>30</v>
      </c>
      <c r="E31">
        <v>72</v>
      </c>
      <c r="F31">
        <v>38148.99</v>
      </c>
      <c r="G31">
        <v>62403.34</v>
      </c>
      <c r="H31">
        <v>24254.35</v>
      </c>
      <c r="I31" s="4">
        <v>0.63580000000000003</v>
      </c>
      <c r="J31" s="4">
        <v>1.2699999999999999E-2</v>
      </c>
      <c r="K31" s="4">
        <v>8.6E-3</v>
      </c>
      <c r="L31">
        <v>-0.41</v>
      </c>
      <c r="M31" s="4">
        <v>5.6999999999999993E-3</v>
      </c>
    </row>
    <row r="32" spans="1:13" x14ac:dyDescent="0.35">
      <c r="A32" t="s">
        <v>57</v>
      </c>
      <c r="B32">
        <v>423</v>
      </c>
      <c r="C32">
        <v>605</v>
      </c>
      <c r="D32">
        <v>479</v>
      </c>
      <c r="E32">
        <v>660</v>
      </c>
      <c r="F32">
        <v>48687.16</v>
      </c>
      <c r="G32">
        <v>70593.94</v>
      </c>
      <c r="H32">
        <v>21906.78</v>
      </c>
      <c r="I32" s="4">
        <v>0.44990000000000002</v>
      </c>
      <c r="J32" s="4">
        <v>1.6299999999999999E-2</v>
      </c>
      <c r="K32" s="4">
        <v>9.7999999999999997E-3</v>
      </c>
      <c r="L32">
        <v>-0.65</v>
      </c>
      <c r="M32" s="4">
        <v>5.1999999999999998E-3</v>
      </c>
    </row>
    <row r="33" spans="1:13" x14ac:dyDescent="0.35">
      <c r="A33" t="s">
        <v>73</v>
      </c>
      <c r="B33">
        <v>43</v>
      </c>
      <c r="C33">
        <v>136</v>
      </c>
      <c r="D33">
        <v>46</v>
      </c>
      <c r="E33">
        <v>155</v>
      </c>
      <c r="F33">
        <v>5399.26</v>
      </c>
      <c r="G33">
        <v>27009.83</v>
      </c>
      <c r="H33">
        <v>21610.57</v>
      </c>
      <c r="I33" s="4">
        <v>4.0025000000000004</v>
      </c>
      <c r="J33" s="4">
        <v>1.8E-3</v>
      </c>
      <c r="K33" s="4">
        <v>3.7000000000000002E-3</v>
      </c>
      <c r="L33">
        <v>0.19</v>
      </c>
      <c r="M33" s="4">
        <v>5.1000000000000004E-3</v>
      </c>
    </row>
    <row r="34" spans="1:13" x14ac:dyDescent="0.35">
      <c r="A34" t="s">
        <v>44</v>
      </c>
      <c r="B34">
        <v>1206</v>
      </c>
      <c r="C34">
        <v>1391</v>
      </c>
      <c r="D34">
        <v>1262</v>
      </c>
      <c r="E34">
        <v>1447</v>
      </c>
      <c r="F34">
        <v>206306.37</v>
      </c>
      <c r="G34">
        <v>227743.7</v>
      </c>
      <c r="H34">
        <v>21437.33</v>
      </c>
      <c r="I34" s="4">
        <v>0.10390000000000001</v>
      </c>
      <c r="J34" s="4">
        <v>6.8900000000000003E-2</v>
      </c>
      <c r="K34" s="4">
        <v>3.1600000000000003E-2</v>
      </c>
      <c r="L34">
        <v>-3.74</v>
      </c>
      <c r="M34" s="4">
        <v>5.1000000000000004E-3</v>
      </c>
    </row>
    <row r="35" spans="1:13" x14ac:dyDescent="0.35">
      <c r="A35" t="s">
        <v>56</v>
      </c>
      <c r="B35">
        <v>183</v>
      </c>
      <c r="C35">
        <v>314</v>
      </c>
      <c r="D35">
        <v>193</v>
      </c>
      <c r="E35">
        <v>348</v>
      </c>
      <c r="F35">
        <v>66022.899999999994</v>
      </c>
      <c r="G35">
        <v>85912.94</v>
      </c>
      <c r="H35">
        <v>19890.04</v>
      </c>
      <c r="I35" s="4">
        <v>0.30130000000000001</v>
      </c>
      <c r="J35" s="4">
        <v>2.2099999999999998E-2</v>
      </c>
      <c r="K35" s="4">
        <v>1.1899999999999999E-2</v>
      </c>
      <c r="L35">
        <v>-1.02</v>
      </c>
      <c r="M35" s="4">
        <v>4.6999999999999993E-3</v>
      </c>
    </row>
    <row r="36" spans="1:13" x14ac:dyDescent="0.35">
      <c r="A36" t="s">
        <v>69</v>
      </c>
      <c r="B36">
        <v>100</v>
      </c>
      <c r="C36">
        <v>85</v>
      </c>
      <c r="D36">
        <v>120</v>
      </c>
      <c r="E36">
        <v>100</v>
      </c>
      <c r="F36">
        <v>8217.4</v>
      </c>
      <c r="G36">
        <v>27005.39</v>
      </c>
      <c r="H36">
        <v>18787.990000000002</v>
      </c>
      <c r="I36" s="4">
        <v>2.2864</v>
      </c>
      <c r="J36" s="4">
        <v>2.7000000000000001E-3</v>
      </c>
      <c r="K36" s="4">
        <v>3.7000000000000002E-3</v>
      </c>
      <c r="L36">
        <v>0.1</v>
      </c>
      <c r="M36" s="4">
        <v>4.4000000000000003E-3</v>
      </c>
    </row>
    <row r="37" spans="1:13" x14ac:dyDescent="0.35">
      <c r="A37" t="s">
        <v>60</v>
      </c>
      <c r="B37">
        <v>273</v>
      </c>
      <c r="C37">
        <v>371</v>
      </c>
      <c r="D37">
        <v>292</v>
      </c>
      <c r="E37">
        <v>402</v>
      </c>
      <c r="F37">
        <v>43698.35</v>
      </c>
      <c r="G37">
        <v>61497.08</v>
      </c>
      <c r="H37">
        <v>17798.73</v>
      </c>
      <c r="I37" s="4">
        <v>0.4073</v>
      </c>
      <c r="J37" s="4">
        <v>1.46E-2</v>
      </c>
      <c r="K37" s="4">
        <v>8.5000000000000006E-3</v>
      </c>
      <c r="L37">
        <v>-0.61</v>
      </c>
      <c r="M37" s="4">
        <v>4.1999999999999997E-3</v>
      </c>
    </row>
    <row r="38" spans="1:13" x14ac:dyDescent="0.35">
      <c r="A38" t="s">
        <v>83</v>
      </c>
      <c r="B38">
        <v>10</v>
      </c>
      <c r="C38">
        <v>217</v>
      </c>
      <c r="D38">
        <v>12</v>
      </c>
      <c r="E38">
        <v>279</v>
      </c>
      <c r="F38">
        <v>997.73</v>
      </c>
      <c r="G38">
        <v>16883.189999999999</v>
      </c>
      <c r="H38">
        <v>15885.46</v>
      </c>
      <c r="I38" s="4">
        <v>15.921600000000002</v>
      </c>
      <c r="J38" s="4">
        <v>2.9999999999999997E-4</v>
      </c>
      <c r="K38" s="4">
        <v>2.3E-3</v>
      </c>
      <c r="L38">
        <v>0.2</v>
      </c>
      <c r="M38" s="4">
        <v>3.8E-3</v>
      </c>
    </row>
    <row r="39" spans="1:13" x14ac:dyDescent="0.35">
      <c r="A39" t="s">
        <v>84</v>
      </c>
      <c r="B39">
        <v>16</v>
      </c>
      <c r="C39">
        <v>105</v>
      </c>
      <c r="D39">
        <v>18</v>
      </c>
      <c r="E39">
        <v>153</v>
      </c>
      <c r="F39">
        <v>1699.62</v>
      </c>
      <c r="G39">
        <v>17066.240000000002</v>
      </c>
      <c r="H39">
        <v>15366.62</v>
      </c>
      <c r="I39" s="4">
        <v>9.0411999999999999</v>
      </c>
      <c r="J39" s="4">
        <v>5.9999999999999995E-4</v>
      </c>
      <c r="K39" s="4">
        <v>2.3999999999999998E-3</v>
      </c>
      <c r="L39">
        <v>0.18</v>
      </c>
      <c r="M39" s="4">
        <v>3.5999999999999999E-3</v>
      </c>
    </row>
    <row r="40" spans="1:13" x14ac:dyDescent="0.35">
      <c r="A40" t="s">
        <v>78</v>
      </c>
      <c r="B40">
        <v>56</v>
      </c>
      <c r="C40">
        <v>338</v>
      </c>
      <c r="D40">
        <v>58</v>
      </c>
      <c r="E40">
        <v>379</v>
      </c>
      <c r="F40">
        <v>5109.97</v>
      </c>
      <c r="G40">
        <v>20304.87</v>
      </c>
      <c r="H40">
        <v>15194.9</v>
      </c>
      <c r="I40" s="4">
        <v>2.9736000000000002</v>
      </c>
      <c r="J40" s="4">
        <v>1.7000000000000001E-3</v>
      </c>
      <c r="K40" s="4">
        <v>2.8000000000000004E-3</v>
      </c>
      <c r="L40">
        <v>0.11</v>
      </c>
      <c r="M40" s="4">
        <v>3.5999999999999999E-3</v>
      </c>
    </row>
    <row r="41" spans="1:13" x14ac:dyDescent="0.35">
      <c r="A41" t="s">
        <v>74</v>
      </c>
      <c r="B41">
        <v>118</v>
      </c>
      <c r="C41">
        <v>282</v>
      </c>
      <c r="D41">
        <v>126</v>
      </c>
      <c r="E41">
        <v>308</v>
      </c>
      <c r="F41">
        <v>11796.09</v>
      </c>
      <c r="G41">
        <v>26856.15</v>
      </c>
      <c r="H41">
        <v>15060.06</v>
      </c>
      <c r="I41" s="4">
        <v>1.2766999999999999</v>
      </c>
      <c r="J41" s="4">
        <v>3.9000000000000003E-3</v>
      </c>
      <c r="K41" s="4">
        <v>3.7000000000000002E-3</v>
      </c>
      <c r="L41">
        <v>-0.02</v>
      </c>
      <c r="M41" s="4">
        <v>3.5999999999999999E-3</v>
      </c>
    </row>
    <row r="42" spans="1:13" x14ac:dyDescent="0.35">
      <c r="A42" t="s">
        <v>62</v>
      </c>
      <c r="B42">
        <v>356</v>
      </c>
      <c r="C42">
        <v>463</v>
      </c>
      <c r="D42">
        <v>376</v>
      </c>
      <c r="E42">
        <v>487</v>
      </c>
      <c r="F42">
        <v>50692.62</v>
      </c>
      <c r="G42">
        <v>63612.93</v>
      </c>
      <c r="H42">
        <v>12920.31</v>
      </c>
      <c r="I42" s="4">
        <v>0.25489999999999996</v>
      </c>
      <c r="J42" s="4">
        <v>1.6899999999999998E-2</v>
      </c>
      <c r="K42" s="4">
        <v>8.8000000000000005E-3</v>
      </c>
      <c r="L42">
        <v>-0.81</v>
      </c>
      <c r="M42" s="4">
        <v>3.0999999999999999E-3</v>
      </c>
    </row>
    <row r="43" spans="1:13" x14ac:dyDescent="0.35">
      <c r="A43" t="s">
        <v>67</v>
      </c>
      <c r="B43">
        <v>134</v>
      </c>
      <c r="C43">
        <v>211</v>
      </c>
      <c r="D43">
        <v>167</v>
      </c>
      <c r="E43">
        <v>239</v>
      </c>
      <c r="F43">
        <v>22545.82</v>
      </c>
      <c r="G43">
        <v>33467.26</v>
      </c>
      <c r="H43">
        <v>10921.44</v>
      </c>
      <c r="I43" s="4">
        <v>0.4844</v>
      </c>
      <c r="J43" s="4">
        <v>7.4999999999999997E-3</v>
      </c>
      <c r="K43" s="4">
        <v>4.5999999999999999E-3</v>
      </c>
      <c r="L43">
        <v>-0.28999999999999998</v>
      </c>
      <c r="M43" s="4">
        <v>2.5999999999999999E-3</v>
      </c>
    </row>
    <row r="44" spans="1:13" x14ac:dyDescent="0.35">
      <c r="A44" t="s">
        <v>80</v>
      </c>
      <c r="B44">
        <v>30</v>
      </c>
      <c r="C44">
        <v>128</v>
      </c>
      <c r="D44">
        <v>39</v>
      </c>
      <c r="E44">
        <v>156</v>
      </c>
      <c r="F44">
        <v>5585.99</v>
      </c>
      <c r="G44">
        <v>16364.39</v>
      </c>
      <c r="H44">
        <v>10778.4</v>
      </c>
      <c r="I44" s="4">
        <v>1.9295</v>
      </c>
      <c r="J44" s="4">
        <v>1.9E-3</v>
      </c>
      <c r="K44" s="4">
        <v>2.3E-3</v>
      </c>
      <c r="L44">
        <v>0.04</v>
      </c>
      <c r="M44" s="4">
        <v>2.5999999999999999E-3</v>
      </c>
    </row>
    <row r="45" spans="1:13" x14ac:dyDescent="0.35">
      <c r="A45" t="s">
        <v>86</v>
      </c>
      <c r="B45">
        <v>20</v>
      </c>
      <c r="C45">
        <v>213</v>
      </c>
      <c r="D45">
        <v>20</v>
      </c>
      <c r="E45">
        <v>219</v>
      </c>
      <c r="F45">
        <v>2441.2800000000002</v>
      </c>
      <c r="G45">
        <v>12940.01</v>
      </c>
      <c r="H45">
        <v>10498.73</v>
      </c>
      <c r="I45" s="4">
        <v>4.3005000000000004</v>
      </c>
      <c r="J45" s="4">
        <v>8.0000000000000004E-4</v>
      </c>
      <c r="K45" s="4">
        <v>1.8E-3</v>
      </c>
      <c r="L45">
        <v>0.1</v>
      </c>
      <c r="M45" s="4">
        <v>2.5000000000000001E-3</v>
      </c>
    </row>
    <row r="46" spans="1:13" x14ac:dyDescent="0.35">
      <c r="A46" t="s">
        <v>87</v>
      </c>
      <c r="B46">
        <v>3</v>
      </c>
      <c r="C46">
        <v>76</v>
      </c>
      <c r="D46">
        <v>3</v>
      </c>
      <c r="E46">
        <v>81</v>
      </c>
      <c r="F46">
        <v>1532.9</v>
      </c>
      <c r="G46">
        <v>11816.66</v>
      </c>
      <c r="H46">
        <v>10283.76</v>
      </c>
      <c r="I46" s="4">
        <v>6.7087000000000003</v>
      </c>
      <c r="J46" s="4">
        <v>5.0000000000000001E-4</v>
      </c>
      <c r="K46" s="4">
        <v>1.6000000000000001E-3</v>
      </c>
      <c r="L46">
        <v>0.11</v>
      </c>
      <c r="M46" s="4">
        <v>2.3999999999999998E-3</v>
      </c>
    </row>
    <row r="47" spans="1:13" x14ac:dyDescent="0.35">
      <c r="A47" t="s">
        <v>81</v>
      </c>
      <c r="B47">
        <v>22</v>
      </c>
      <c r="C47">
        <v>163</v>
      </c>
      <c r="D47">
        <v>22</v>
      </c>
      <c r="E47">
        <v>165</v>
      </c>
      <c r="F47">
        <v>8053.5</v>
      </c>
      <c r="G47">
        <v>14675.96</v>
      </c>
      <c r="H47">
        <v>6622.46</v>
      </c>
      <c r="I47" s="4">
        <v>0.82230000000000003</v>
      </c>
      <c r="J47" s="4">
        <v>2.7000000000000001E-3</v>
      </c>
      <c r="K47" s="4">
        <v>2E-3</v>
      </c>
      <c r="L47">
        <v>-7.0000000000000007E-2</v>
      </c>
      <c r="M47" s="4">
        <v>1.6000000000000001E-3</v>
      </c>
    </row>
    <row r="48" spans="1:13" x14ac:dyDescent="0.35">
      <c r="A48" t="s">
        <v>88</v>
      </c>
      <c r="B48">
        <v>37</v>
      </c>
      <c r="C48">
        <v>117</v>
      </c>
      <c r="D48">
        <v>44</v>
      </c>
      <c r="E48">
        <v>145</v>
      </c>
      <c r="F48">
        <v>1199.5999999999999</v>
      </c>
      <c r="G48">
        <v>7655.94</v>
      </c>
      <c r="H48">
        <v>6456.34</v>
      </c>
      <c r="I48" s="4">
        <v>5.3821000000000003</v>
      </c>
      <c r="J48" s="4">
        <v>4.0000000000000002E-4</v>
      </c>
      <c r="K48" s="4">
        <v>1.1000000000000001E-3</v>
      </c>
      <c r="L48">
        <v>7.0000000000000007E-2</v>
      </c>
      <c r="M48" s="4">
        <v>1.5E-3</v>
      </c>
    </row>
    <row r="49" spans="1:13" x14ac:dyDescent="0.35">
      <c r="A49" t="s">
        <v>70</v>
      </c>
      <c r="B49">
        <v>75</v>
      </c>
      <c r="C49">
        <v>132</v>
      </c>
      <c r="D49">
        <v>85</v>
      </c>
      <c r="E49">
        <v>155</v>
      </c>
      <c r="F49">
        <v>18332.22</v>
      </c>
      <c r="G49">
        <v>24705.06</v>
      </c>
      <c r="H49">
        <v>6372.84</v>
      </c>
      <c r="I49" s="4">
        <v>0.34759999999999996</v>
      </c>
      <c r="J49" s="4">
        <v>6.0999999999999995E-3</v>
      </c>
      <c r="K49" s="4">
        <v>3.4000000000000002E-3</v>
      </c>
      <c r="L49">
        <v>-0.27</v>
      </c>
      <c r="M49" s="4">
        <v>1.5E-3</v>
      </c>
    </row>
    <row r="50" spans="1:13" x14ac:dyDescent="0.35">
      <c r="A50" t="s">
        <v>93</v>
      </c>
      <c r="B50">
        <v>5</v>
      </c>
      <c r="C50">
        <v>55</v>
      </c>
      <c r="D50">
        <v>5</v>
      </c>
      <c r="E50">
        <v>62</v>
      </c>
      <c r="F50">
        <v>315</v>
      </c>
      <c r="G50">
        <v>5979.47</v>
      </c>
      <c r="H50">
        <v>5664.47</v>
      </c>
      <c r="I50" s="4">
        <v>17.982399999999998</v>
      </c>
      <c r="J50" s="4">
        <v>1E-4</v>
      </c>
      <c r="K50" s="4">
        <v>8.0000000000000004E-4</v>
      </c>
      <c r="L50">
        <v>7.0000000000000007E-2</v>
      </c>
      <c r="M50" s="4">
        <v>1.2999999999999999E-3</v>
      </c>
    </row>
    <row r="51" spans="1:13" x14ac:dyDescent="0.35">
      <c r="A51" t="s">
        <v>91</v>
      </c>
      <c r="B51">
        <v>6</v>
      </c>
      <c r="C51">
        <v>77</v>
      </c>
      <c r="D51">
        <v>7</v>
      </c>
      <c r="E51">
        <v>89</v>
      </c>
      <c r="F51">
        <v>377.69</v>
      </c>
      <c r="G51">
        <v>5910.9</v>
      </c>
      <c r="H51">
        <v>5533.21</v>
      </c>
      <c r="I51" s="4">
        <v>14.6501</v>
      </c>
      <c r="J51" s="4">
        <v>1E-4</v>
      </c>
      <c r="K51" s="4">
        <v>8.0000000000000004E-4</v>
      </c>
      <c r="L51">
        <v>7.0000000000000007E-2</v>
      </c>
      <c r="M51" s="4">
        <v>1.2999999999999999E-3</v>
      </c>
    </row>
    <row r="52" spans="1:13" x14ac:dyDescent="0.35">
      <c r="A52" t="s">
        <v>85</v>
      </c>
      <c r="B52">
        <v>27</v>
      </c>
      <c r="C52">
        <v>53</v>
      </c>
      <c r="D52">
        <v>30</v>
      </c>
      <c r="E52">
        <v>62</v>
      </c>
      <c r="F52">
        <v>5527.13</v>
      </c>
      <c r="G52">
        <v>10813.17</v>
      </c>
      <c r="H52">
        <v>5286.04</v>
      </c>
      <c r="I52" s="4">
        <v>0.95640000000000003</v>
      </c>
      <c r="J52" s="4">
        <v>1.8E-3</v>
      </c>
      <c r="K52" s="4">
        <v>1.5E-3</v>
      </c>
      <c r="L52">
        <v>-0.03</v>
      </c>
      <c r="M52" s="4">
        <v>1.2999999999999999E-3</v>
      </c>
    </row>
    <row r="53" spans="1:13" x14ac:dyDescent="0.35">
      <c r="A53" t="s">
        <v>99</v>
      </c>
      <c r="B53">
        <v>0</v>
      </c>
      <c r="C53">
        <v>13</v>
      </c>
      <c r="D53">
        <v>0</v>
      </c>
      <c r="E53">
        <v>14</v>
      </c>
      <c r="F53">
        <v>0</v>
      </c>
      <c r="G53">
        <v>3933.63</v>
      </c>
      <c r="H53">
        <v>3933.63</v>
      </c>
      <c r="J53" s="4">
        <v>0</v>
      </c>
      <c r="K53" s="4">
        <v>5.0000000000000001E-4</v>
      </c>
      <c r="L53">
        <v>0.05</v>
      </c>
      <c r="M53" s="4">
        <v>8.9999999999999998E-4</v>
      </c>
    </row>
    <row r="54" spans="1:13" x14ac:dyDescent="0.35">
      <c r="A54" t="s">
        <v>97</v>
      </c>
      <c r="B54">
        <v>3</v>
      </c>
      <c r="C54">
        <v>39</v>
      </c>
      <c r="D54">
        <v>4</v>
      </c>
      <c r="E54">
        <v>43</v>
      </c>
      <c r="F54">
        <v>179.99</v>
      </c>
      <c r="G54">
        <v>3470.87</v>
      </c>
      <c r="H54">
        <v>3290.88</v>
      </c>
      <c r="I54" s="4">
        <v>18.2837</v>
      </c>
      <c r="J54" s="4">
        <v>1E-4</v>
      </c>
      <c r="K54" s="4">
        <v>5.0000000000000001E-4</v>
      </c>
      <c r="L54">
        <v>0.04</v>
      </c>
      <c r="M54" s="4">
        <v>8.0000000000000004E-4</v>
      </c>
    </row>
    <row r="55" spans="1:13" x14ac:dyDescent="0.35">
      <c r="A55" t="s">
        <v>94</v>
      </c>
      <c r="B55">
        <v>10</v>
      </c>
      <c r="C55">
        <v>27</v>
      </c>
      <c r="D55">
        <v>10</v>
      </c>
      <c r="E55">
        <v>27</v>
      </c>
      <c r="F55">
        <v>1503.49</v>
      </c>
      <c r="G55">
        <v>4475.96</v>
      </c>
      <c r="H55">
        <v>2972.47</v>
      </c>
      <c r="I55" s="4">
        <v>1.9769999999999999</v>
      </c>
      <c r="J55" s="4">
        <v>5.0000000000000001E-4</v>
      </c>
      <c r="K55" s="4">
        <v>5.9999999999999995E-4</v>
      </c>
      <c r="L55">
        <v>0.01</v>
      </c>
      <c r="M55" s="4">
        <v>7.000000000000001E-4</v>
      </c>
    </row>
    <row r="56" spans="1:13" x14ac:dyDescent="0.35">
      <c r="A56" t="s">
        <v>96</v>
      </c>
      <c r="B56">
        <v>1</v>
      </c>
      <c r="C56">
        <v>29</v>
      </c>
      <c r="D56">
        <v>1</v>
      </c>
      <c r="E56">
        <v>32</v>
      </c>
      <c r="F56">
        <v>69.900000000000006</v>
      </c>
      <c r="G56">
        <v>2621.79</v>
      </c>
      <c r="H56">
        <v>2551.89</v>
      </c>
      <c r="I56" s="4">
        <v>36.5077</v>
      </c>
      <c r="J56" s="4">
        <v>0</v>
      </c>
      <c r="K56" s="4">
        <v>4.0000000000000002E-4</v>
      </c>
      <c r="L56">
        <v>0.03</v>
      </c>
      <c r="M56" s="4">
        <v>5.9999999999999995E-4</v>
      </c>
    </row>
    <row r="57" spans="1:13" x14ac:dyDescent="0.35">
      <c r="A57" t="s">
        <v>103</v>
      </c>
      <c r="B57">
        <v>2</v>
      </c>
      <c r="C57">
        <v>21</v>
      </c>
      <c r="D57">
        <v>2</v>
      </c>
      <c r="E57">
        <v>22</v>
      </c>
      <c r="F57">
        <v>151.88999999999999</v>
      </c>
      <c r="G57">
        <v>1662.12</v>
      </c>
      <c r="H57">
        <v>1510.23</v>
      </c>
      <c r="I57" s="4">
        <v>9.9428999999999998</v>
      </c>
      <c r="J57" s="4">
        <v>1E-4</v>
      </c>
      <c r="K57" s="4">
        <v>2.0000000000000001E-4</v>
      </c>
      <c r="L57">
        <v>0.02</v>
      </c>
      <c r="M57" s="4">
        <v>4.0000000000000002E-4</v>
      </c>
    </row>
    <row r="58" spans="1:13" x14ac:dyDescent="0.35">
      <c r="A58" t="s">
        <v>104</v>
      </c>
      <c r="B58">
        <v>0</v>
      </c>
      <c r="C58">
        <v>23</v>
      </c>
      <c r="D58">
        <v>0</v>
      </c>
      <c r="E58">
        <v>34</v>
      </c>
      <c r="F58">
        <v>0</v>
      </c>
      <c r="G58">
        <v>1289.8900000000001</v>
      </c>
      <c r="H58">
        <v>1289.8900000000001</v>
      </c>
      <c r="J58" s="4">
        <v>0</v>
      </c>
      <c r="K58" s="4">
        <v>2.0000000000000001E-4</v>
      </c>
      <c r="L58">
        <v>0.02</v>
      </c>
      <c r="M58" s="4">
        <v>2.9999999999999997E-4</v>
      </c>
    </row>
    <row r="59" spans="1:13" x14ac:dyDescent="0.35">
      <c r="A59" t="s">
        <v>106</v>
      </c>
      <c r="B59">
        <v>0</v>
      </c>
      <c r="C59">
        <v>21</v>
      </c>
      <c r="D59">
        <v>0</v>
      </c>
      <c r="E59">
        <v>25</v>
      </c>
      <c r="F59">
        <v>0</v>
      </c>
      <c r="G59">
        <v>839.54</v>
      </c>
      <c r="H59">
        <v>839.54</v>
      </c>
      <c r="J59" s="4">
        <v>0</v>
      </c>
      <c r="K59" s="4">
        <v>1E-4</v>
      </c>
      <c r="L59">
        <v>0.01</v>
      </c>
      <c r="M59" s="4">
        <v>2.0000000000000001E-4</v>
      </c>
    </row>
    <row r="60" spans="1:13" x14ac:dyDescent="0.35">
      <c r="A60" t="s">
        <v>98</v>
      </c>
      <c r="B60">
        <v>7</v>
      </c>
      <c r="C60">
        <v>19</v>
      </c>
      <c r="D60">
        <v>7</v>
      </c>
      <c r="E60">
        <v>19</v>
      </c>
      <c r="F60">
        <v>1324.08</v>
      </c>
      <c r="G60">
        <v>1775.1</v>
      </c>
      <c r="H60">
        <v>451.02</v>
      </c>
      <c r="I60" s="4">
        <v>0.34060000000000001</v>
      </c>
      <c r="J60" s="4">
        <v>4.0000000000000002E-4</v>
      </c>
      <c r="K60" s="4">
        <v>2.0000000000000001E-4</v>
      </c>
      <c r="L60">
        <v>-0.02</v>
      </c>
      <c r="M60" s="4">
        <v>1E-4</v>
      </c>
    </row>
    <row r="61" spans="1:13" x14ac:dyDescent="0.35">
      <c r="A61" t="s">
        <v>105</v>
      </c>
      <c r="B61">
        <v>4</v>
      </c>
      <c r="C61">
        <v>3</v>
      </c>
      <c r="D61">
        <v>4</v>
      </c>
      <c r="E61">
        <v>4</v>
      </c>
      <c r="F61">
        <v>519.96</v>
      </c>
      <c r="G61">
        <v>786.99</v>
      </c>
      <c r="H61">
        <v>267.02999999999997</v>
      </c>
      <c r="I61" s="4">
        <v>0.51359999999999995</v>
      </c>
      <c r="J61" s="4">
        <v>2.0000000000000001E-4</v>
      </c>
      <c r="K61" s="4">
        <v>1E-4</v>
      </c>
      <c r="L61">
        <v>-0.01</v>
      </c>
      <c r="M61" s="4">
        <v>1E-4</v>
      </c>
    </row>
    <row r="62" spans="1:13" x14ac:dyDescent="0.35">
      <c r="A62" t="s">
        <v>109</v>
      </c>
      <c r="B62">
        <v>2</v>
      </c>
      <c r="C62">
        <v>3</v>
      </c>
      <c r="D62">
        <v>2</v>
      </c>
      <c r="E62">
        <v>3</v>
      </c>
      <c r="F62">
        <v>220</v>
      </c>
      <c r="G62">
        <v>169.97</v>
      </c>
      <c r="H62">
        <v>-50.03</v>
      </c>
      <c r="I62" s="4">
        <v>-0.22739999999999999</v>
      </c>
      <c r="J62" s="4">
        <v>1E-4</v>
      </c>
      <c r="K62" s="4">
        <v>0</v>
      </c>
      <c r="L62">
        <v>0</v>
      </c>
      <c r="M62" s="4">
        <v>0</v>
      </c>
    </row>
    <row r="63" spans="1:13" x14ac:dyDescent="0.35">
      <c r="A63" t="s">
        <v>110</v>
      </c>
      <c r="B63">
        <v>1</v>
      </c>
      <c r="C63">
        <v>0</v>
      </c>
      <c r="D63">
        <v>1</v>
      </c>
      <c r="E63">
        <v>0</v>
      </c>
      <c r="F63">
        <v>183.29</v>
      </c>
      <c r="G63">
        <v>0</v>
      </c>
      <c r="H63">
        <v>-183.29</v>
      </c>
      <c r="I63" s="4">
        <v>-1</v>
      </c>
      <c r="J63" s="4">
        <v>1E-4</v>
      </c>
      <c r="K63" s="4">
        <v>0</v>
      </c>
      <c r="L63">
        <v>-0.01</v>
      </c>
      <c r="M63" s="4">
        <v>0</v>
      </c>
    </row>
    <row r="64" spans="1:13" x14ac:dyDescent="0.35">
      <c r="A64" t="s">
        <v>102</v>
      </c>
      <c r="B64">
        <v>8</v>
      </c>
      <c r="C64">
        <v>3</v>
      </c>
      <c r="D64">
        <v>8</v>
      </c>
      <c r="E64">
        <v>4</v>
      </c>
      <c r="F64">
        <v>999.99</v>
      </c>
      <c r="G64">
        <v>781</v>
      </c>
      <c r="H64">
        <v>-218.99</v>
      </c>
      <c r="I64" s="4">
        <v>-0.21899999999999997</v>
      </c>
      <c r="J64" s="4">
        <v>2.9999999999999997E-4</v>
      </c>
      <c r="K64" s="4">
        <v>1E-4</v>
      </c>
      <c r="L64">
        <v>-0.02</v>
      </c>
      <c r="M64" s="4">
        <v>-1E-4</v>
      </c>
    </row>
    <row r="65" spans="1:13" x14ac:dyDescent="0.35">
      <c r="A65" t="s">
        <v>90</v>
      </c>
      <c r="B65">
        <v>40</v>
      </c>
      <c r="C65">
        <v>37</v>
      </c>
      <c r="D65">
        <v>43</v>
      </c>
      <c r="E65">
        <v>42</v>
      </c>
      <c r="F65">
        <v>2694.45</v>
      </c>
      <c r="G65">
        <v>2409.1</v>
      </c>
      <c r="H65">
        <v>-285.35000000000002</v>
      </c>
      <c r="I65" s="4">
        <v>-0.10589999999999999</v>
      </c>
      <c r="J65" s="4">
        <v>8.9999999999999998E-4</v>
      </c>
      <c r="K65" s="4">
        <v>2.9999999999999997E-4</v>
      </c>
      <c r="L65">
        <v>-0.06</v>
      </c>
      <c r="M65" s="4">
        <v>-1E-4</v>
      </c>
    </row>
    <row r="66" spans="1:13" x14ac:dyDescent="0.35">
      <c r="A66" t="s">
        <v>108</v>
      </c>
      <c r="B66">
        <v>6</v>
      </c>
      <c r="C66">
        <v>1</v>
      </c>
      <c r="D66">
        <v>8</v>
      </c>
      <c r="E66">
        <v>1</v>
      </c>
      <c r="F66">
        <v>360</v>
      </c>
      <c r="G66">
        <v>65</v>
      </c>
      <c r="H66">
        <v>-295</v>
      </c>
      <c r="I66" s="4">
        <v>-0.81940000000000002</v>
      </c>
      <c r="J66" s="4">
        <v>1E-4</v>
      </c>
      <c r="K66" s="4">
        <v>0</v>
      </c>
      <c r="L66">
        <v>-0.01</v>
      </c>
      <c r="M66" s="4">
        <v>-1E-4</v>
      </c>
    </row>
    <row r="67" spans="1:13" x14ac:dyDescent="0.35">
      <c r="A67" t="s">
        <v>107</v>
      </c>
      <c r="B67">
        <v>10</v>
      </c>
      <c r="C67">
        <v>7</v>
      </c>
      <c r="D67">
        <v>11</v>
      </c>
      <c r="E67">
        <v>10</v>
      </c>
      <c r="F67">
        <v>493.08</v>
      </c>
      <c r="G67">
        <v>151.09</v>
      </c>
      <c r="H67">
        <v>-341.99</v>
      </c>
      <c r="I67" s="4">
        <v>-0.69359999999999999</v>
      </c>
      <c r="J67" s="4">
        <v>2.0000000000000001E-4</v>
      </c>
      <c r="K67" s="4">
        <v>0</v>
      </c>
      <c r="L67">
        <v>-0.01</v>
      </c>
      <c r="M67" s="4">
        <v>-1E-4</v>
      </c>
    </row>
    <row r="68" spans="1:13" x14ac:dyDescent="0.35">
      <c r="A68" t="s">
        <v>82</v>
      </c>
      <c r="B68">
        <v>110</v>
      </c>
      <c r="C68">
        <v>67</v>
      </c>
      <c r="D68">
        <v>123</v>
      </c>
      <c r="E68">
        <v>70</v>
      </c>
      <c r="F68">
        <v>8907.08</v>
      </c>
      <c r="G68">
        <v>8296.9699999999993</v>
      </c>
      <c r="H68">
        <v>-610.11</v>
      </c>
      <c r="I68" s="4">
        <v>-6.8499999999999991E-2</v>
      </c>
      <c r="J68" s="4">
        <v>3.0000000000000001E-3</v>
      </c>
      <c r="K68" s="4">
        <v>1.1000000000000001E-3</v>
      </c>
      <c r="L68">
        <v>-0.18</v>
      </c>
      <c r="M68" s="4">
        <v>-1E-4</v>
      </c>
    </row>
    <row r="69" spans="1:13" x14ac:dyDescent="0.35">
      <c r="A69" t="s">
        <v>68</v>
      </c>
      <c r="B69">
        <v>140</v>
      </c>
      <c r="C69">
        <v>146</v>
      </c>
      <c r="D69">
        <v>156</v>
      </c>
      <c r="E69">
        <v>154</v>
      </c>
      <c r="F69">
        <v>21445.47</v>
      </c>
      <c r="G69">
        <v>20737.650000000001</v>
      </c>
      <c r="H69">
        <v>-707.82</v>
      </c>
      <c r="I69" s="4">
        <v>-3.3000000000000002E-2</v>
      </c>
      <c r="J69" s="4">
        <v>7.1999999999999998E-3</v>
      </c>
      <c r="K69" s="4">
        <v>2.8999999999999998E-3</v>
      </c>
      <c r="L69">
        <v>-0.43</v>
      </c>
      <c r="M69" s="4">
        <v>-2.0000000000000001E-4</v>
      </c>
    </row>
    <row r="70" spans="1:13" x14ac:dyDescent="0.35">
      <c r="A70" t="s">
        <v>101</v>
      </c>
      <c r="B70">
        <v>16</v>
      </c>
      <c r="C70">
        <v>5</v>
      </c>
      <c r="D70">
        <v>16</v>
      </c>
      <c r="E70">
        <v>5</v>
      </c>
      <c r="F70">
        <v>1160.72</v>
      </c>
      <c r="G70">
        <v>369.5</v>
      </c>
      <c r="H70">
        <v>-791.22</v>
      </c>
      <c r="I70" s="4">
        <v>-0.68169999999999997</v>
      </c>
      <c r="J70" s="4">
        <v>4.0000000000000002E-4</v>
      </c>
      <c r="K70" s="4">
        <v>1E-4</v>
      </c>
      <c r="L70">
        <v>-0.03</v>
      </c>
      <c r="M70" s="4">
        <v>-2.0000000000000001E-4</v>
      </c>
    </row>
    <row r="71" spans="1:13" x14ac:dyDescent="0.35">
      <c r="A71" t="s">
        <v>100</v>
      </c>
      <c r="B71">
        <v>22</v>
      </c>
      <c r="C71">
        <v>8</v>
      </c>
      <c r="D71">
        <v>22</v>
      </c>
      <c r="E71">
        <v>16</v>
      </c>
      <c r="F71">
        <v>1547.7</v>
      </c>
      <c r="G71">
        <v>616.66</v>
      </c>
      <c r="H71">
        <v>-931.04</v>
      </c>
      <c r="I71" s="4">
        <v>-0.60159999999999991</v>
      </c>
      <c r="J71" s="4">
        <v>5.0000000000000001E-4</v>
      </c>
      <c r="K71" s="4">
        <v>1E-4</v>
      </c>
      <c r="L71">
        <v>-0.04</v>
      </c>
      <c r="M71" s="4">
        <v>-2.0000000000000001E-4</v>
      </c>
    </row>
    <row r="72" spans="1:13" x14ac:dyDescent="0.35">
      <c r="A72" t="s">
        <v>95</v>
      </c>
      <c r="B72">
        <v>24</v>
      </c>
      <c r="C72">
        <v>22</v>
      </c>
      <c r="D72">
        <v>26</v>
      </c>
      <c r="E72">
        <v>25</v>
      </c>
      <c r="F72">
        <v>2995.79</v>
      </c>
      <c r="G72">
        <v>1132.71</v>
      </c>
      <c r="H72">
        <v>-1863.08</v>
      </c>
      <c r="I72" s="4">
        <v>-0.62190000000000001</v>
      </c>
      <c r="J72" s="4">
        <v>1E-3</v>
      </c>
      <c r="K72" s="4">
        <v>2.0000000000000001E-4</v>
      </c>
      <c r="L72">
        <v>-0.08</v>
      </c>
      <c r="M72" s="4">
        <v>-4.0000000000000002E-4</v>
      </c>
    </row>
    <row r="73" spans="1:13" x14ac:dyDescent="0.35">
      <c r="A73" t="s">
        <v>89</v>
      </c>
      <c r="B73">
        <v>49</v>
      </c>
      <c r="C73">
        <v>24</v>
      </c>
      <c r="D73">
        <v>57</v>
      </c>
      <c r="E73">
        <v>26</v>
      </c>
      <c r="F73">
        <v>4644.28</v>
      </c>
      <c r="G73">
        <v>2301.87</v>
      </c>
      <c r="H73">
        <v>-2342.41</v>
      </c>
      <c r="I73" s="4">
        <v>-0.50439999999999996</v>
      </c>
      <c r="J73" s="4">
        <v>1.6000000000000001E-3</v>
      </c>
      <c r="K73" s="4">
        <v>2.9999999999999997E-4</v>
      </c>
      <c r="L73">
        <v>-0.12</v>
      </c>
      <c r="M73" s="4">
        <v>-5.9999999999999995E-4</v>
      </c>
    </row>
    <row r="74" spans="1:13" x14ac:dyDescent="0.35">
      <c r="A74" t="s">
        <v>92</v>
      </c>
      <c r="B74">
        <v>43</v>
      </c>
      <c r="C74">
        <v>20</v>
      </c>
      <c r="D74">
        <v>45</v>
      </c>
      <c r="E74">
        <v>22</v>
      </c>
      <c r="F74">
        <v>5157.75</v>
      </c>
      <c r="G74">
        <v>1267.96</v>
      </c>
      <c r="H74">
        <v>-3889.79</v>
      </c>
      <c r="I74" s="4">
        <v>-0.75419999999999998</v>
      </c>
      <c r="J74" s="4">
        <v>1.7000000000000001E-3</v>
      </c>
      <c r="K74" s="4">
        <v>2.0000000000000001E-4</v>
      </c>
      <c r="L74">
        <v>-0.15</v>
      </c>
      <c r="M74" s="4">
        <v>-8.9999999999999998E-4</v>
      </c>
    </row>
    <row r="75" spans="1:13" x14ac:dyDescent="0.35">
      <c r="A75" t="s">
        <v>79</v>
      </c>
      <c r="B75">
        <v>129</v>
      </c>
      <c r="C75">
        <v>95</v>
      </c>
      <c r="D75">
        <v>135</v>
      </c>
      <c r="E75">
        <v>107</v>
      </c>
      <c r="F75">
        <v>15088.93</v>
      </c>
      <c r="G75">
        <v>7565.57</v>
      </c>
      <c r="H75">
        <v>-7523.36</v>
      </c>
      <c r="I75" s="4">
        <v>-0.49859999999999999</v>
      </c>
      <c r="J75" s="4">
        <v>5.0000000000000001E-3</v>
      </c>
      <c r="K75" s="4">
        <v>1E-3</v>
      </c>
      <c r="L75">
        <v>-0.4</v>
      </c>
      <c r="M75" s="4">
        <v>-1.8E-3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A14B-BFC3-4E7F-84E5-2FF61CC17133}">
  <sheetPr>
    <tabColor rgb="FFD38817"/>
  </sheetPr>
  <dimension ref="A1:G75"/>
  <sheetViews>
    <sheetView zoomScaleNormal="100" workbookViewId="0">
      <selection activeCell="B35" sqref="B35"/>
    </sheetView>
  </sheetViews>
  <sheetFormatPr defaultRowHeight="14.5" x14ac:dyDescent="0.35"/>
  <cols>
    <col min="1" max="1" width="40.90625" bestFit="1" customWidth="1"/>
    <col min="2" max="2" width="18.6328125" style="5" bestFit="1" customWidth="1"/>
    <col min="3" max="3" width="16.81640625" bestFit="1" customWidth="1"/>
    <col min="4" max="4" width="20.54296875" style="4" bestFit="1" customWidth="1"/>
    <col min="5" max="5" width="17.6328125" bestFit="1" customWidth="1"/>
    <col min="6" max="6" width="20.08984375" style="4" bestFit="1" customWidth="1"/>
    <col min="7" max="7" width="20.81640625" style="4" bestFit="1" customWidth="1"/>
  </cols>
  <sheetData>
    <row r="1" spans="1:7" x14ac:dyDescent="0.35">
      <c r="A1" t="s">
        <v>28</v>
      </c>
      <c r="B1" s="5" t="s">
        <v>123</v>
      </c>
      <c r="C1" t="s">
        <v>124</v>
      </c>
      <c r="D1" s="4" t="s">
        <v>125</v>
      </c>
      <c r="E1" t="s">
        <v>126</v>
      </c>
      <c r="F1" s="4" t="s">
        <v>127</v>
      </c>
      <c r="G1" s="4" t="s">
        <v>128</v>
      </c>
    </row>
    <row r="2" spans="1:7" x14ac:dyDescent="0.35">
      <c r="A2" t="s">
        <v>39</v>
      </c>
      <c r="B2" s="5">
        <v>9417</v>
      </c>
      <c r="C2">
        <v>9313</v>
      </c>
      <c r="D2" s="4">
        <v>0.9890000000000001</v>
      </c>
      <c r="E2">
        <v>3.97</v>
      </c>
      <c r="F2" s="4">
        <v>0.16760000000000003</v>
      </c>
      <c r="G2" s="4">
        <v>0.73180000000000012</v>
      </c>
    </row>
    <row r="3" spans="1:7" x14ac:dyDescent="0.35">
      <c r="A3" t="s">
        <v>37</v>
      </c>
      <c r="B3" s="5">
        <v>8836</v>
      </c>
      <c r="C3">
        <v>8771</v>
      </c>
      <c r="D3" s="4">
        <v>0.99260000000000004</v>
      </c>
      <c r="E3">
        <v>4.18</v>
      </c>
      <c r="F3" s="4">
        <v>0.127</v>
      </c>
      <c r="G3" s="4">
        <v>0.79510000000000003</v>
      </c>
    </row>
    <row r="4" spans="1:7" x14ac:dyDescent="0.35">
      <c r="A4" t="s">
        <v>40</v>
      </c>
      <c r="B4" s="5">
        <v>7720</v>
      </c>
      <c r="C4">
        <v>7669</v>
      </c>
      <c r="D4" s="4">
        <v>0.99340000000000006</v>
      </c>
      <c r="E4">
        <v>4.17</v>
      </c>
      <c r="F4" s="4">
        <v>0.13009999999999999</v>
      </c>
      <c r="G4" s="4">
        <v>0.7974</v>
      </c>
    </row>
    <row r="5" spans="1:7" x14ac:dyDescent="0.35">
      <c r="A5" t="s">
        <v>41</v>
      </c>
      <c r="B5" s="5">
        <v>6689</v>
      </c>
      <c r="C5">
        <v>6649</v>
      </c>
      <c r="D5" s="4">
        <v>0.99400000000000011</v>
      </c>
      <c r="E5">
        <v>4.03</v>
      </c>
      <c r="F5" s="4">
        <v>0.16089999999999999</v>
      </c>
      <c r="G5" s="4">
        <v>0.75769999999999993</v>
      </c>
    </row>
    <row r="6" spans="1:7" x14ac:dyDescent="0.35">
      <c r="A6" t="s">
        <v>42</v>
      </c>
      <c r="B6" s="5">
        <v>6449</v>
      </c>
      <c r="C6">
        <v>6398</v>
      </c>
      <c r="D6" s="4">
        <v>0.99209999999999998</v>
      </c>
      <c r="E6">
        <v>4.01</v>
      </c>
      <c r="F6" s="4">
        <v>0.1668</v>
      </c>
      <c r="G6" s="4">
        <v>0.7451000000000001</v>
      </c>
    </row>
    <row r="7" spans="1:7" x14ac:dyDescent="0.35">
      <c r="A7" t="s">
        <v>43</v>
      </c>
      <c r="B7" s="5">
        <v>5884</v>
      </c>
      <c r="C7">
        <v>5843</v>
      </c>
      <c r="D7" s="4">
        <v>0.99299999999999999</v>
      </c>
      <c r="E7">
        <v>4.1399999999999997</v>
      </c>
      <c r="F7" s="4">
        <v>0.1321</v>
      </c>
      <c r="G7" s="4">
        <v>0.78249999999999997</v>
      </c>
    </row>
    <row r="8" spans="1:7" x14ac:dyDescent="0.35">
      <c r="A8" t="s">
        <v>38</v>
      </c>
      <c r="B8" s="5">
        <v>5624</v>
      </c>
      <c r="C8">
        <v>5576</v>
      </c>
      <c r="D8" s="4">
        <v>0.99150000000000005</v>
      </c>
      <c r="E8">
        <v>4.07</v>
      </c>
      <c r="F8" s="4">
        <v>0.15210000000000001</v>
      </c>
      <c r="G8" s="4">
        <v>0.76200000000000001</v>
      </c>
    </row>
    <row r="9" spans="1:7" x14ac:dyDescent="0.35">
      <c r="A9" t="s">
        <v>50</v>
      </c>
      <c r="B9" s="5">
        <v>4199</v>
      </c>
      <c r="C9">
        <v>4168</v>
      </c>
      <c r="D9" s="4">
        <v>0.99260000000000004</v>
      </c>
      <c r="E9">
        <v>4</v>
      </c>
      <c r="F9" s="4">
        <v>0.15479999999999999</v>
      </c>
      <c r="G9" s="4">
        <v>0.74519999999999997</v>
      </c>
    </row>
    <row r="10" spans="1:7" x14ac:dyDescent="0.35">
      <c r="A10" t="s">
        <v>45</v>
      </c>
      <c r="B10" s="5">
        <v>3897</v>
      </c>
      <c r="C10">
        <v>3877</v>
      </c>
      <c r="D10" s="4">
        <v>0.9948999999999999</v>
      </c>
      <c r="E10">
        <v>4.09</v>
      </c>
      <c r="F10" s="4">
        <v>0.14499999999999999</v>
      </c>
      <c r="G10" s="4">
        <v>0.7770999999999999</v>
      </c>
    </row>
    <row r="11" spans="1:7" x14ac:dyDescent="0.35">
      <c r="A11" t="s">
        <v>46</v>
      </c>
      <c r="B11" s="5">
        <v>3886</v>
      </c>
      <c r="C11">
        <v>3853</v>
      </c>
      <c r="D11" s="4">
        <v>0.99150000000000005</v>
      </c>
      <c r="E11">
        <v>4.1900000000000004</v>
      </c>
      <c r="F11" s="4">
        <v>0.12689999999999999</v>
      </c>
      <c r="G11" s="4">
        <v>0.79700000000000004</v>
      </c>
    </row>
    <row r="12" spans="1:7" x14ac:dyDescent="0.35">
      <c r="A12" t="s">
        <v>44</v>
      </c>
      <c r="B12" s="5">
        <v>3632</v>
      </c>
      <c r="C12">
        <v>3599</v>
      </c>
      <c r="D12" s="4">
        <v>0.9909</v>
      </c>
      <c r="E12">
        <v>4.17</v>
      </c>
      <c r="F12" s="4">
        <v>0.125</v>
      </c>
      <c r="G12" s="4">
        <v>0.79469999999999996</v>
      </c>
    </row>
    <row r="13" spans="1:7" x14ac:dyDescent="0.35">
      <c r="A13" t="s">
        <v>47</v>
      </c>
      <c r="B13" s="5">
        <v>3518</v>
      </c>
      <c r="C13">
        <v>3496</v>
      </c>
      <c r="D13" s="4">
        <v>0.99370000000000003</v>
      </c>
      <c r="E13">
        <v>4.1399999999999997</v>
      </c>
      <c r="F13" s="4">
        <v>0.13439999999999999</v>
      </c>
      <c r="G13" s="4">
        <v>0.78579999999999994</v>
      </c>
    </row>
    <row r="14" spans="1:7" x14ac:dyDescent="0.35">
      <c r="A14" t="s">
        <v>49</v>
      </c>
      <c r="B14" s="5">
        <v>3162</v>
      </c>
      <c r="C14">
        <v>3150</v>
      </c>
      <c r="D14" s="4">
        <v>0.99620000000000009</v>
      </c>
      <c r="E14">
        <v>4.2</v>
      </c>
      <c r="F14" s="4">
        <v>0.1333</v>
      </c>
      <c r="G14" s="4">
        <v>0.8</v>
      </c>
    </row>
    <row r="15" spans="1:7" x14ac:dyDescent="0.35">
      <c r="A15" t="s">
        <v>48</v>
      </c>
      <c r="B15" s="5">
        <v>2885</v>
      </c>
      <c r="C15">
        <v>2861</v>
      </c>
      <c r="D15" s="4">
        <v>0.99170000000000003</v>
      </c>
      <c r="E15">
        <v>4.04</v>
      </c>
      <c r="F15" s="4">
        <v>0.16010000000000002</v>
      </c>
      <c r="G15" s="4">
        <v>0.75360000000000005</v>
      </c>
    </row>
    <row r="16" spans="1:7" x14ac:dyDescent="0.35">
      <c r="A16" t="s">
        <v>58</v>
      </c>
      <c r="B16" s="5">
        <v>2550</v>
      </c>
      <c r="C16">
        <v>2531</v>
      </c>
      <c r="D16" s="4">
        <v>0.99250000000000005</v>
      </c>
      <c r="E16">
        <v>4.0999999999999996</v>
      </c>
      <c r="F16" s="4">
        <v>0.14069999999999999</v>
      </c>
      <c r="G16" s="4">
        <v>0.78069999999999995</v>
      </c>
    </row>
    <row r="17" spans="1:7" x14ac:dyDescent="0.35">
      <c r="A17" t="s">
        <v>52</v>
      </c>
      <c r="B17" s="5">
        <v>2311</v>
      </c>
      <c r="C17">
        <v>2295</v>
      </c>
      <c r="D17" s="4">
        <v>0.99309999999999998</v>
      </c>
      <c r="E17">
        <v>4.25</v>
      </c>
      <c r="F17" s="4">
        <v>0.11460000000000001</v>
      </c>
      <c r="G17" s="4">
        <v>0.82140000000000002</v>
      </c>
    </row>
    <row r="18" spans="1:7" x14ac:dyDescent="0.35">
      <c r="A18" t="s">
        <v>59</v>
      </c>
      <c r="B18" s="5">
        <v>1864</v>
      </c>
      <c r="C18">
        <v>1854</v>
      </c>
      <c r="D18" s="4">
        <v>0.99459999999999993</v>
      </c>
      <c r="E18">
        <v>4.1900000000000004</v>
      </c>
      <c r="F18" s="4">
        <v>0.11599999999999999</v>
      </c>
      <c r="G18" s="4">
        <v>0.80040000000000011</v>
      </c>
    </row>
    <row r="19" spans="1:7" x14ac:dyDescent="0.35">
      <c r="A19" t="s">
        <v>54</v>
      </c>
      <c r="B19" s="5">
        <v>1710</v>
      </c>
      <c r="C19">
        <v>1701</v>
      </c>
      <c r="D19" s="4">
        <v>0.99470000000000003</v>
      </c>
      <c r="E19">
        <v>4.24</v>
      </c>
      <c r="F19" s="4">
        <v>0.1164</v>
      </c>
      <c r="G19" s="4">
        <v>0.81310000000000004</v>
      </c>
    </row>
    <row r="20" spans="1:7" x14ac:dyDescent="0.35">
      <c r="A20" t="s">
        <v>57</v>
      </c>
      <c r="B20" s="5">
        <v>1451</v>
      </c>
      <c r="C20">
        <v>1439</v>
      </c>
      <c r="D20" s="4">
        <v>0.99170000000000003</v>
      </c>
      <c r="E20">
        <v>3.91</v>
      </c>
      <c r="F20" s="4">
        <v>0.20079999999999998</v>
      </c>
      <c r="G20" s="4">
        <v>0.7359</v>
      </c>
    </row>
    <row r="21" spans="1:7" x14ac:dyDescent="0.35">
      <c r="A21" t="s">
        <v>51</v>
      </c>
      <c r="B21" s="5">
        <v>1273</v>
      </c>
      <c r="C21">
        <v>1263</v>
      </c>
      <c r="D21" s="4">
        <v>0.99209999999999998</v>
      </c>
      <c r="E21">
        <v>3.62</v>
      </c>
      <c r="F21" s="4">
        <v>0.22640000000000002</v>
      </c>
      <c r="G21" s="4">
        <v>0.62790000000000001</v>
      </c>
    </row>
    <row r="22" spans="1:7" x14ac:dyDescent="0.35">
      <c r="A22" t="s">
        <v>60</v>
      </c>
      <c r="B22" s="5">
        <v>1062</v>
      </c>
      <c r="C22">
        <v>1052</v>
      </c>
      <c r="D22" s="4">
        <v>0.99060000000000004</v>
      </c>
      <c r="E22">
        <v>4.07</v>
      </c>
      <c r="F22" s="4">
        <v>0.1426</v>
      </c>
      <c r="G22" s="4">
        <v>0.75569999999999993</v>
      </c>
    </row>
    <row r="23" spans="1:7" x14ac:dyDescent="0.35">
      <c r="A23" t="s">
        <v>62</v>
      </c>
      <c r="B23" s="5">
        <v>1034</v>
      </c>
      <c r="C23">
        <v>1030</v>
      </c>
      <c r="D23" s="4">
        <v>0.99609999999999999</v>
      </c>
      <c r="E23">
        <v>4.33</v>
      </c>
      <c r="F23" s="4">
        <v>9.2200000000000004E-2</v>
      </c>
      <c r="G23" s="4">
        <v>0.83979999999999999</v>
      </c>
    </row>
    <row r="24" spans="1:7" x14ac:dyDescent="0.35">
      <c r="A24" t="s">
        <v>65</v>
      </c>
      <c r="B24" s="5">
        <v>764</v>
      </c>
      <c r="C24">
        <v>761</v>
      </c>
      <c r="D24" s="4">
        <v>0.99609999999999999</v>
      </c>
      <c r="E24">
        <v>4.16</v>
      </c>
      <c r="F24" s="4">
        <v>0.12480000000000001</v>
      </c>
      <c r="G24" s="4">
        <v>0.79370000000000007</v>
      </c>
    </row>
    <row r="25" spans="1:7" x14ac:dyDescent="0.35">
      <c r="A25" t="s">
        <v>61</v>
      </c>
      <c r="B25" s="5">
        <v>748</v>
      </c>
      <c r="C25">
        <v>743</v>
      </c>
      <c r="D25" s="4">
        <v>0.99329999999999996</v>
      </c>
      <c r="E25">
        <v>4.08</v>
      </c>
      <c r="F25" s="4">
        <v>0.1454</v>
      </c>
      <c r="G25" s="4">
        <v>0.76849999999999996</v>
      </c>
    </row>
    <row r="26" spans="1:7" x14ac:dyDescent="0.35">
      <c r="A26" t="s">
        <v>56</v>
      </c>
      <c r="B26" s="5">
        <v>630</v>
      </c>
      <c r="C26">
        <v>624</v>
      </c>
      <c r="D26" s="4">
        <v>0.99049999999999994</v>
      </c>
      <c r="E26">
        <v>4.17</v>
      </c>
      <c r="F26" s="4">
        <v>0.1394</v>
      </c>
      <c r="G26" s="4">
        <v>0.80449999999999999</v>
      </c>
    </row>
    <row r="27" spans="1:7" x14ac:dyDescent="0.35">
      <c r="A27" t="s">
        <v>55</v>
      </c>
      <c r="B27" s="5">
        <v>628</v>
      </c>
      <c r="C27">
        <v>622</v>
      </c>
      <c r="D27" s="4">
        <v>0.99040000000000006</v>
      </c>
      <c r="E27">
        <v>4.18</v>
      </c>
      <c r="F27" s="4">
        <v>0.1318</v>
      </c>
      <c r="G27" s="4">
        <v>0.80390000000000006</v>
      </c>
    </row>
    <row r="28" spans="1:7" x14ac:dyDescent="0.35">
      <c r="A28" t="s">
        <v>74</v>
      </c>
      <c r="B28" s="5">
        <v>512</v>
      </c>
      <c r="C28">
        <v>508</v>
      </c>
      <c r="D28" s="4">
        <v>0.99219999999999997</v>
      </c>
      <c r="E28">
        <v>4.46</v>
      </c>
      <c r="F28" s="4">
        <v>8.2699999999999996E-2</v>
      </c>
      <c r="G28" s="4">
        <v>0.88390000000000002</v>
      </c>
    </row>
    <row r="29" spans="1:7" x14ac:dyDescent="0.35">
      <c r="A29" t="s">
        <v>64</v>
      </c>
      <c r="B29" s="5">
        <v>490</v>
      </c>
      <c r="C29">
        <v>487</v>
      </c>
      <c r="D29" s="4">
        <v>0.99390000000000001</v>
      </c>
      <c r="E29">
        <v>3.97</v>
      </c>
      <c r="F29" s="4">
        <v>0.17660000000000001</v>
      </c>
      <c r="G29" s="4">
        <v>0.74329999999999996</v>
      </c>
    </row>
    <row r="30" spans="1:7" x14ac:dyDescent="0.35">
      <c r="A30" t="s">
        <v>78</v>
      </c>
      <c r="B30" s="5">
        <v>450</v>
      </c>
      <c r="C30">
        <v>445</v>
      </c>
      <c r="D30" s="4">
        <v>0.9889</v>
      </c>
      <c r="E30">
        <v>4.28</v>
      </c>
      <c r="F30" s="4">
        <v>0.11460000000000001</v>
      </c>
      <c r="G30" s="4">
        <v>0.83599999999999997</v>
      </c>
    </row>
    <row r="31" spans="1:7" x14ac:dyDescent="0.35">
      <c r="A31" t="s">
        <v>67</v>
      </c>
      <c r="B31" s="5">
        <v>422</v>
      </c>
      <c r="C31">
        <v>417</v>
      </c>
      <c r="D31" s="4">
        <v>0.98819999999999997</v>
      </c>
      <c r="E31">
        <v>4.03</v>
      </c>
      <c r="F31" s="4">
        <v>0.1535</v>
      </c>
      <c r="G31" s="4">
        <v>0.74580000000000002</v>
      </c>
    </row>
    <row r="32" spans="1:7" x14ac:dyDescent="0.35">
      <c r="A32" t="s">
        <v>68</v>
      </c>
      <c r="B32" s="5">
        <v>397</v>
      </c>
      <c r="C32">
        <v>395</v>
      </c>
      <c r="D32" s="4">
        <v>0.995</v>
      </c>
      <c r="E32">
        <v>3.86</v>
      </c>
      <c r="F32" s="4">
        <v>0.19239999999999999</v>
      </c>
      <c r="G32" s="4">
        <v>0.67590000000000006</v>
      </c>
    </row>
    <row r="33" spans="1:7" x14ac:dyDescent="0.35">
      <c r="A33" t="s">
        <v>71</v>
      </c>
      <c r="B33" s="5">
        <v>350</v>
      </c>
      <c r="C33">
        <v>347</v>
      </c>
      <c r="D33" s="4">
        <v>0.99140000000000006</v>
      </c>
      <c r="E33">
        <v>3.84</v>
      </c>
      <c r="F33" s="4">
        <v>0.21899999999999997</v>
      </c>
      <c r="G33" s="4">
        <v>0.68590000000000007</v>
      </c>
    </row>
    <row r="34" spans="1:7" x14ac:dyDescent="0.35">
      <c r="A34" t="s">
        <v>83</v>
      </c>
      <c r="B34" s="5">
        <v>297</v>
      </c>
      <c r="C34">
        <v>296</v>
      </c>
      <c r="D34" s="4">
        <v>0.99659999999999993</v>
      </c>
      <c r="E34">
        <v>4.16</v>
      </c>
      <c r="F34" s="4">
        <v>0.1216</v>
      </c>
      <c r="G34" s="4">
        <v>0.80409999999999993</v>
      </c>
    </row>
    <row r="35" spans="1:7" x14ac:dyDescent="0.35">
      <c r="A35" t="s">
        <v>79</v>
      </c>
      <c r="B35" s="5">
        <v>280</v>
      </c>
      <c r="C35">
        <v>278</v>
      </c>
      <c r="D35" s="4">
        <v>0.99290000000000012</v>
      </c>
      <c r="E35">
        <v>4.03</v>
      </c>
      <c r="F35" s="4">
        <v>0.13669999999999999</v>
      </c>
      <c r="G35" s="4">
        <v>0.75180000000000002</v>
      </c>
    </row>
    <row r="36" spans="1:7" x14ac:dyDescent="0.35">
      <c r="A36" t="s">
        <v>86</v>
      </c>
      <c r="B36" s="5">
        <v>260</v>
      </c>
      <c r="C36">
        <v>257</v>
      </c>
      <c r="D36" s="4">
        <v>0.98849999999999993</v>
      </c>
      <c r="E36">
        <v>4.4000000000000004</v>
      </c>
      <c r="F36" s="4">
        <v>0.1012</v>
      </c>
      <c r="G36" s="4">
        <v>0.8637999999999999</v>
      </c>
    </row>
    <row r="37" spans="1:7" x14ac:dyDescent="0.35">
      <c r="A37" t="s">
        <v>70</v>
      </c>
      <c r="B37" s="5">
        <v>253</v>
      </c>
      <c r="C37">
        <v>249</v>
      </c>
      <c r="D37" s="4">
        <v>0.98419999999999996</v>
      </c>
      <c r="E37">
        <v>4.03</v>
      </c>
      <c r="F37" s="4">
        <v>0.16469999999999999</v>
      </c>
      <c r="G37" s="4">
        <v>0.75900000000000001</v>
      </c>
    </row>
    <row r="38" spans="1:7" x14ac:dyDescent="0.35">
      <c r="A38" t="s">
        <v>73</v>
      </c>
      <c r="B38" s="5">
        <v>248</v>
      </c>
      <c r="C38">
        <v>246</v>
      </c>
      <c r="D38" s="4">
        <v>0.9919</v>
      </c>
      <c r="E38">
        <v>4.04</v>
      </c>
      <c r="F38" s="4">
        <v>0.13819999999999999</v>
      </c>
      <c r="G38" s="4">
        <v>0.75609999999999999</v>
      </c>
    </row>
    <row r="39" spans="1:7" x14ac:dyDescent="0.35">
      <c r="A39" t="s">
        <v>75</v>
      </c>
      <c r="B39" s="5">
        <v>244</v>
      </c>
      <c r="C39">
        <v>241</v>
      </c>
      <c r="D39" s="4">
        <v>0.98769999999999991</v>
      </c>
      <c r="E39">
        <v>4.12</v>
      </c>
      <c r="F39" s="4">
        <v>0.11199999999999999</v>
      </c>
      <c r="G39" s="4">
        <v>0.77180000000000004</v>
      </c>
    </row>
    <row r="40" spans="1:7" x14ac:dyDescent="0.35">
      <c r="A40" t="s">
        <v>82</v>
      </c>
      <c r="B40" s="5">
        <v>240</v>
      </c>
      <c r="C40">
        <v>236</v>
      </c>
      <c r="D40" s="4">
        <v>0.98329999999999995</v>
      </c>
      <c r="E40">
        <v>4.21</v>
      </c>
      <c r="F40" s="4">
        <v>0.12710000000000002</v>
      </c>
      <c r="G40" s="4">
        <v>0.79659999999999997</v>
      </c>
    </row>
    <row r="41" spans="1:7" x14ac:dyDescent="0.35">
      <c r="A41" t="s">
        <v>77</v>
      </c>
      <c r="B41" s="5">
        <v>235</v>
      </c>
      <c r="C41">
        <v>233</v>
      </c>
      <c r="D41" s="4">
        <v>0.99150000000000005</v>
      </c>
      <c r="E41">
        <v>4.1900000000000004</v>
      </c>
      <c r="F41" s="4">
        <v>0.1116</v>
      </c>
      <c r="G41" s="4">
        <v>0.79830000000000001</v>
      </c>
    </row>
    <row r="42" spans="1:7" x14ac:dyDescent="0.35">
      <c r="A42" t="s">
        <v>63</v>
      </c>
      <c r="B42" s="5">
        <v>234</v>
      </c>
      <c r="C42">
        <v>232</v>
      </c>
      <c r="D42" s="4">
        <v>0.99150000000000005</v>
      </c>
      <c r="E42">
        <v>4.13</v>
      </c>
      <c r="F42" s="4">
        <v>0.1293</v>
      </c>
      <c r="G42" s="4">
        <v>0.7974</v>
      </c>
    </row>
    <row r="43" spans="1:7" x14ac:dyDescent="0.35">
      <c r="A43" t="s">
        <v>88</v>
      </c>
      <c r="B43" s="5">
        <v>227</v>
      </c>
      <c r="C43">
        <v>226</v>
      </c>
      <c r="D43" s="4">
        <v>0.99560000000000004</v>
      </c>
      <c r="E43">
        <v>4.38</v>
      </c>
      <c r="F43" s="4">
        <v>5.7500000000000002E-2</v>
      </c>
      <c r="G43" s="4">
        <v>0.83629999999999993</v>
      </c>
    </row>
    <row r="44" spans="1:7" x14ac:dyDescent="0.35">
      <c r="A44" t="s">
        <v>69</v>
      </c>
      <c r="B44" s="5">
        <v>217</v>
      </c>
      <c r="C44">
        <v>214</v>
      </c>
      <c r="D44" s="4">
        <v>0.98620000000000008</v>
      </c>
      <c r="E44">
        <v>3.9</v>
      </c>
      <c r="F44" s="4">
        <v>0.18690000000000001</v>
      </c>
      <c r="G44" s="4">
        <v>0.72900000000000009</v>
      </c>
    </row>
    <row r="45" spans="1:7" x14ac:dyDescent="0.35">
      <c r="A45" t="s">
        <v>81</v>
      </c>
      <c r="B45" s="5">
        <v>202</v>
      </c>
      <c r="C45">
        <v>200</v>
      </c>
      <c r="D45" s="4">
        <v>0.99010000000000009</v>
      </c>
      <c r="E45">
        <v>4.03</v>
      </c>
      <c r="F45" s="4">
        <v>0.16</v>
      </c>
      <c r="G45" s="4">
        <v>0.75</v>
      </c>
    </row>
    <row r="46" spans="1:7" x14ac:dyDescent="0.35">
      <c r="A46" t="s">
        <v>80</v>
      </c>
      <c r="B46" s="5">
        <v>194</v>
      </c>
      <c r="C46">
        <v>194</v>
      </c>
      <c r="D46" s="4">
        <v>1</v>
      </c>
      <c r="E46">
        <v>4.1900000000000004</v>
      </c>
      <c r="F46" s="4">
        <v>0.13919999999999999</v>
      </c>
      <c r="G46" s="4">
        <v>0.80930000000000002</v>
      </c>
    </row>
    <row r="47" spans="1:7" x14ac:dyDescent="0.35">
      <c r="A47" t="s">
        <v>66</v>
      </c>
      <c r="B47" s="5">
        <v>182</v>
      </c>
      <c r="C47">
        <v>182</v>
      </c>
      <c r="D47" s="4">
        <v>1</v>
      </c>
      <c r="E47">
        <v>4.0199999999999996</v>
      </c>
      <c r="F47" s="4">
        <v>0.1484</v>
      </c>
      <c r="G47" s="4">
        <v>0.7802</v>
      </c>
    </row>
    <row r="48" spans="1:7" x14ac:dyDescent="0.35">
      <c r="A48" t="s">
        <v>53</v>
      </c>
      <c r="B48" s="5">
        <v>181</v>
      </c>
      <c r="C48">
        <v>178</v>
      </c>
      <c r="D48" s="4">
        <v>0.98340000000000005</v>
      </c>
      <c r="E48">
        <v>4.17</v>
      </c>
      <c r="F48" s="4">
        <v>0.12920000000000001</v>
      </c>
      <c r="G48" s="4">
        <v>0.81459999999999999</v>
      </c>
    </row>
    <row r="49" spans="1:7" x14ac:dyDescent="0.35">
      <c r="A49" t="s">
        <v>76</v>
      </c>
      <c r="B49" s="5">
        <v>167</v>
      </c>
      <c r="C49">
        <v>166</v>
      </c>
      <c r="D49" s="4">
        <v>0.99400000000000011</v>
      </c>
      <c r="E49">
        <v>3.85</v>
      </c>
      <c r="F49" s="4">
        <v>0.20480000000000001</v>
      </c>
      <c r="G49" s="4">
        <v>0.71689999999999998</v>
      </c>
    </row>
    <row r="50" spans="1:7" x14ac:dyDescent="0.35">
      <c r="A50" t="s">
        <v>84</v>
      </c>
      <c r="B50" s="5">
        <v>140</v>
      </c>
      <c r="C50">
        <v>138</v>
      </c>
      <c r="D50" s="4">
        <v>0.98569999999999991</v>
      </c>
      <c r="E50">
        <v>4.1100000000000003</v>
      </c>
      <c r="F50" s="4">
        <v>0.1159</v>
      </c>
      <c r="G50" s="4">
        <v>0.76090000000000002</v>
      </c>
    </row>
    <row r="51" spans="1:7" x14ac:dyDescent="0.35">
      <c r="A51" t="s">
        <v>91</v>
      </c>
      <c r="B51" s="5">
        <v>128</v>
      </c>
      <c r="C51">
        <v>126</v>
      </c>
      <c r="D51" s="4">
        <v>0.98439999999999994</v>
      </c>
      <c r="E51">
        <v>4.0599999999999996</v>
      </c>
      <c r="F51" s="4">
        <v>0.127</v>
      </c>
      <c r="G51" s="4">
        <v>0.77780000000000005</v>
      </c>
    </row>
    <row r="52" spans="1:7" x14ac:dyDescent="0.35">
      <c r="A52" t="s">
        <v>90</v>
      </c>
      <c r="B52" s="5">
        <v>121</v>
      </c>
      <c r="C52">
        <v>120</v>
      </c>
      <c r="D52" s="4">
        <v>0.99170000000000003</v>
      </c>
      <c r="E52">
        <v>3.93</v>
      </c>
      <c r="F52" s="4">
        <v>0.18329999999999999</v>
      </c>
      <c r="G52" s="4">
        <v>0.74170000000000003</v>
      </c>
    </row>
    <row r="53" spans="1:7" x14ac:dyDescent="0.35">
      <c r="A53" t="s">
        <v>89</v>
      </c>
      <c r="B53" s="5">
        <v>112</v>
      </c>
      <c r="C53">
        <v>111</v>
      </c>
      <c r="D53" s="4">
        <v>0.99109999999999998</v>
      </c>
      <c r="E53">
        <v>3.7</v>
      </c>
      <c r="F53" s="4">
        <v>0.26129999999999998</v>
      </c>
      <c r="G53" s="4">
        <v>0.67569999999999997</v>
      </c>
    </row>
    <row r="54" spans="1:7" x14ac:dyDescent="0.35">
      <c r="A54" t="s">
        <v>85</v>
      </c>
      <c r="B54" s="5">
        <v>95</v>
      </c>
      <c r="C54">
        <v>95</v>
      </c>
      <c r="D54" s="4">
        <v>1</v>
      </c>
      <c r="E54">
        <v>4.1399999999999997</v>
      </c>
      <c r="F54" s="4">
        <v>0.15789999999999998</v>
      </c>
      <c r="G54" s="4">
        <v>0.8</v>
      </c>
    </row>
    <row r="55" spans="1:7" x14ac:dyDescent="0.35">
      <c r="A55" t="s">
        <v>87</v>
      </c>
      <c r="B55" s="5">
        <v>97</v>
      </c>
      <c r="C55">
        <v>94</v>
      </c>
      <c r="D55" s="4">
        <v>0.96909999999999996</v>
      </c>
      <c r="E55">
        <v>4.43</v>
      </c>
      <c r="F55" s="4">
        <v>8.5099999999999995E-2</v>
      </c>
      <c r="G55" s="4">
        <v>0.9043000000000001</v>
      </c>
    </row>
    <row r="56" spans="1:7" x14ac:dyDescent="0.35">
      <c r="A56" t="s">
        <v>92</v>
      </c>
      <c r="B56" s="5">
        <v>79</v>
      </c>
      <c r="C56">
        <v>77</v>
      </c>
      <c r="D56" s="4">
        <v>0.97470000000000001</v>
      </c>
      <c r="E56">
        <v>4.16</v>
      </c>
      <c r="F56" s="4">
        <v>0.12990000000000002</v>
      </c>
      <c r="G56" s="4">
        <v>0.80519999999999992</v>
      </c>
    </row>
    <row r="57" spans="1:7" x14ac:dyDescent="0.35">
      <c r="A57" t="s">
        <v>72</v>
      </c>
      <c r="B57" s="5">
        <v>75</v>
      </c>
      <c r="C57">
        <v>75</v>
      </c>
      <c r="D57" s="4">
        <v>1</v>
      </c>
      <c r="E57">
        <v>4.29</v>
      </c>
      <c r="F57" s="4">
        <v>0.1067</v>
      </c>
      <c r="G57" s="4">
        <v>0.84</v>
      </c>
    </row>
    <row r="58" spans="1:7" x14ac:dyDescent="0.35">
      <c r="A58" t="s">
        <v>93</v>
      </c>
      <c r="B58" s="5">
        <v>65</v>
      </c>
      <c r="C58">
        <v>65</v>
      </c>
      <c r="D58" s="4">
        <v>1</v>
      </c>
      <c r="E58">
        <v>4.2300000000000004</v>
      </c>
      <c r="F58" s="4">
        <v>0.13849999999999998</v>
      </c>
      <c r="G58" s="4">
        <v>0.78459999999999996</v>
      </c>
    </row>
    <row r="59" spans="1:7" x14ac:dyDescent="0.35">
      <c r="A59" t="s">
        <v>95</v>
      </c>
      <c r="B59" s="5">
        <v>59</v>
      </c>
      <c r="C59">
        <v>58</v>
      </c>
      <c r="D59" s="4">
        <v>0.98309999999999997</v>
      </c>
      <c r="E59">
        <v>4.09</v>
      </c>
      <c r="F59" s="4">
        <v>0.1724</v>
      </c>
      <c r="G59" s="4">
        <v>0.81030000000000002</v>
      </c>
    </row>
    <row r="60" spans="1:7" x14ac:dyDescent="0.35">
      <c r="A60" t="s">
        <v>97</v>
      </c>
      <c r="B60" s="5">
        <v>53</v>
      </c>
      <c r="C60">
        <v>53</v>
      </c>
      <c r="D60" s="4">
        <v>1</v>
      </c>
      <c r="E60">
        <v>4.32</v>
      </c>
      <c r="F60" s="4">
        <v>0.1321</v>
      </c>
      <c r="G60" s="4">
        <v>0.83019999999999994</v>
      </c>
    </row>
    <row r="61" spans="1:7" x14ac:dyDescent="0.35">
      <c r="A61" t="s">
        <v>100</v>
      </c>
      <c r="B61" s="5">
        <v>39</v>
      </c>
      <c r="C61">
        <v>39</v>
      </c>
      <c r="D61" s="4">
        <v>1</v>
      </c>
      <c r="E61">
        <v>3.69</v>
      </c>
      <c r="F61" s="4">
        <v>0.23079999999999998</v>
      </c>
      <c r="G61" s="4">
        <v>0.61539999999999995</v>
      </c>
    </row>
    <row r="62" spans="1:7" x14ac:dyDescent="0.35">
      <c r="A62" t="s">
        <v>96</v>
      </c>
      <c r="B62" s="5">
        <v>39</v>
      </c>
      <c r="C62">
        <v>39</v>
      </c>
      <c r="D62" s="4">
        <v>1</v>
      </c>
      <c r="E62">
        <v>4</v>
      </c>
      <c r="F62" s="4">
        <v>0.17949999999999999</v>
      </c>
      <c r="G62" s="4">
        <v>0.71790000000000009</v>
      </c>
    </row>
    <row r="63" spans="1:7" x14ac:dyDescent="0.35">
      <c r="A63" t="s">
        <v>98</v>
      </c>
      <c r="B63" s="5">
        <v>38</v>
      </c>
      <c r="C63">
        <v>38</v>
      </c>
      <c r="D63" s="4">
        <v>1</v>
      </c>
      <c r="E63">
        <v>3.82</v>
      </c>
      <c r="F63" s="4">
        <v>0.21050000000000002</v>
      </c>
      <c r="G63" s="4">
        <v>0.71050000000000002</v>
      </c>
    </row>
    <row r="64" spans="1:7" x14ac:dyDescent="0.35">
      <c r="A64" t="s">
        <v>94</v>
      </c>
      <c r="B64" s="5">
        <v>38</v>
      </c>
      <c r="C64">
        <v>38</v>
      </c>
      <c r="D64" s="4">
        <v>1</v>
      </c>
      <c r="E64">
        <v>4.21</v>
      </c>
      <c r="F64" s="4">
        <v>0.10529999999999999</v>
      </c>
      <c r="G64" s="4">
        <v>0.78949999999999998</v>
      </c>
    </row>
    <row r="65" spans="1:7" x14ac:dyDescent="0.35">
      <c r="A65" t="s">
        <v>106</v>
      </c>
      <c r="B65" s="5">
        <v>29</v>
      </c>
      <c r="C65">
        <v>28</v>
      </c>
      <c r="D65" s="4">
        <v>0.96550000000000002</v>
      </c>
      <c r="E65">
        <v>4.3899999999999997</v>
      </c>
      <c r="F65" s="4">
        <v>7.1399999999999991E-2</v>
      </c>
      <c r="G65" s="4">
        <v>0.85709999999999997</v>
      </c>
    </row>
    <row r="66" spans="1:7" x14ac:dyDescent="0.35">
      <c r="A66" t="s">
        <v>101</v>
      </c>
      <c r="B66" s="5">
        <v>27</v>
      </c>
      <c r="C66">
        <v>27</v>
      </c>
      <c r="D66" s="4">
        <v>1</v>
      </c>
      <c r="E66">
        <v>4.26</v>
      </c>
      <c r="F66" s="4">
        <v>0.11109999999999999</v>
      </c>
      <c r="G66" s="4">
        <v>0.81480000000000008</v>
      </c>
    </row>
    <row r="67" spans="1:7" x14ac:dyDescent="0.35">
      <c r="A67" t="s">
        <v>104</v>
      </c>
      <c r="B67" s="5">
        <v>27</v>
      </c>
      <c r="C67">
        <v>27</v>
      </c>
      <c r="D67" s="4">
        <v>1</v>
      </c>
      <c r="E67">
        <v>3.74</v>
      </c>
      <c r="F67" s="4">
        <v>0.1852</v>
      </c>
      <c r="G67" s="4">
        <v>0.66670000000000007</v>
      </c>
    </row>
    <row r="68" spans="1:7" x14ac:dyDescent="0.35">
      <c r="A68" t="s">
        <v>107</v>
      </c>
      <c r="B68" s="5">
        <v>24</v>
      </c>
      <c r="C68">
        <v>23</v>
      </c>
      <c r="D68" s="4">
        <v>0.95829999999999993</v>
      </c>
      <c r="E68">
        <v>3.83</v>
      </c>
      <c r="F68" s="4">
        <v>0.21739999999999998</v>
      </c>
      <c r="G68" s="4">
        <v>0.69569999999999999</v>
      </c>
    </row>
    <row r="69" spans="1:7" x14ac:dyDescent="0.35">
      <c r="A69" t="s">
        <v>103</v>
      </c>
      <c r="B69" s="5">
        <v>23</v>
      </c>
      <c r="C69">
        <v>23</v>
      </c>
      <c r="D69" s="4">
        <v>1</v>
      </c>
      <c r="E69">
        <v>4.17</v>
      </c>
      <c r="F69" s="4">
        <v>0.13039999999999999</v>
      </c>
      <c r="G69" s="4">
        <v>0.78260000000000007</v>
      </c>
    </row>
    <row r="70" spans="1:7" x14ac:dyDescent="0.35">
      <c r="A70" t="s">
        <v>99</v>
      </c>
      <c r="B70" s="5">
        <v>14</v>
      </c>
      <c r="C70">
        <v>14</v>
      </c>
      <c r="D70" s="4">
        <v>1</v>
      </c>
      <c r="E70">
        <v>3.43</v>
      </c>
      <c r="F70" s="4">
        <v>0.28570000000000001</v>
      </c>
      <c r="G70" s="4">
        <v>0.5</v>
      </c>
    </row>
    <row r="71" spans="1:7" x14ac:dyDescent="0.35">
      <c r="A71" t="s">
        <v>108</v>
      </c>
      <c r="B71" s="5">
        <v>12</v>
      </c>
      <c r="C71">
        <v>12</v>
      </c>
      <c r="D71" s="4">
        <v>1</v>
      </c>
      <c r="E71">
        <v>4.67</v>
      </c>
      <c r="F71" s="4">
        <v>0</v>
      </c>
      <c r="G71" s="4">
        <v>0.91670000000000007</v>
      </c>
    </row>
    <row r="72" spans="1:7" x14ac:dyDescent="0.35">
      <c r="A72" t="s">
        <v>102</v>
      </c>
      <c r="B72" s="5">
        <v>13</v>
      </c>
      <c r="C72">
        <v>12</v>
      </c>
      <c r="D72" s="4">
        <v>0.92310000000000003</v>
      </c>
      <c r="E72">
        <v>4.25</v>
      </c>
      <c r="F72" s="4">
        <v>0.16670000000000001</v>
      </c>
      <c r="G72" s="4">
        <v>0.83329999999999993</v>
      </c>
    </row>
    <row r="73" spans="1:7" x14ac:dyDescent="0.35">
      <c r="A73" t="s">
        <v>109</v>
      </c>
      <c r="B73" s="5">
        <v>8</v>
      </c>
      <c r="C73">
        <v>8</v>
      </c>
      <c r="D73" s="4">
        <v>1</v>
      </c>
      <c r="E73">
        <v>4.5</v>
      </c>
      <c r="F73" s="4">
        <v>0.125</v>
      </c>
      <c r="G73" s="4">
        <v>0.875</v>
      </c>
    </row>
    <row r="74" spans="1:7" x14ac:dyDescent="0.35">
      <c r="A74" t="s">
        <v>105</v>
      </c>
      <c r="B74" s="5">
        <v>8</v>
      </c>
      <c r="C74">
        <v>8</v>
      </c>
      <c r="D74" s="4">
        <v>1</v>
      </c>
      <c r="E74">
        <v>3.13</v>
      </c>
      <c r="F74" s="4">
        <v>0.375</v>
      </c>
      <c r="G74" s="4">
        <v>0.625</v>
      </c>
    </row>
    <row r="75" spans="1:7" x14ac:dyDescent="0.35">
      <c r="A75" t="s">
        <v>110</v>
      </c>
      <c r="B75" s="5">
        <v>2</v>
      </c>
      <c r="C75">
        <v>2</v>
      </c>
      <c r="D75" s="4">
        <v>1</v>
      </c>
      <c r="E75">
        <v>2.5</v>
      </c>
      <c r="F75" s="4">
        <v>0.5</v>
      </c>
      <c r="G75" s="4">
        <v>0.5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Read Me</vt:lpstr>
      <vt:lpstr>Category Review</vt:lpstr>
      <vt:lpstr>Category Detail</vt:lpstr>
      <vt:lpstr>Data_Performance</vt:lpstr>
      <vt:lpstr>Data_Growth</vt:lpstr>
      <vt:lpstr>Data_Reviews</vt:lpstr>
      <vt:lpstr>CategoryList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nomit bagaria</dc:creator>
  <cp:lastModifiedBy>nomit bagaria</cp:lastModifiedBy>
  <cp:lastPrinted>2026-08-14T11:58:10Z</cp:lastPrinted>
  <dcterms:created xsi:type="dcterms:W3CDTF">2026-08-13T00:09:21Z</dcterms:created>
  <dcterms:modified xsi:type="dcterms:W3CDTF">2026-08-14T18:39:17Z</dcterms:modified>
</cp:coreProperties>
</file>